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6" documentId="13_ncr:1_{E65CC77B-B2A6-4CE6-A0AD-E449BC227DD7}" xr6:coauthVersionLast="47" xr6:coauthVersionMax="47" xr10:uidLastSave="{F30BEE56-4C02-4716-96ED-466F1A4CC131}"/>
  <bookViews>
    <workbookView minimized="1" xWindow="9696" yWindow="4404" windowWidth="14388" windowHeight="8880" activeTab="2" xr2:uid="{00000000-000D-0000-FFFF-FFFF00000000}"/>
  </bookViews>
  <sheets>
    <sheet name="DATA" sheetId="1" r:id="rId1"/>
    <sheet name="pivot" sheetId="7" r:id="rId2"/>
    <sheet name="Dashboard" sheetId="8" r:id="rId3"/>
  </sheets>
  <definedNames>
    <definedName name="Slicer_Items">#N/A</definedName>
    <definedName name="Slicer_Region">#N/A</definedName>
  </definedNames>
  <calcPr calcId="191029" calcMode="manual"/>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1" l="1"/>
  <c r="D83"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alcChain>
</file>

<file path=xl/sharedStrings.xml><?xml version="1.0" encoding="utf-8"?>
<sst xmlns="http://schemas.openxmlformats.org/spreadsheetml/2006/main" count="381" uniqueCount="98">
  <si>
    <t>Seller Name</t>
  </si>
  <si>
    <t>Region</t>
  </si>
  <si>
    <t>Items</t>
  </si>
  <si>
    <t>Sales</t>
  </si>
  <si>
    <t>Ajit</t>
  </si>
  <si>
    <t>East</t>
  </si>
  <si>
    <t>Mouse</t>
  </si>
  <si>
    <t>Memory</t>
  </si>
  <si>
    <t>Raghav</t>
  </si>
  <si>
    <t>CPU</t>
  </si>
  <si>
    <t>Mohan</t>
  </si>
  <si>
    <t>Neha</t>
  </si>
  <si>
    <t>Keyboard</t>
  </si>
  <si>
    <t>Pooja</t>
  </si>
  <si>
    <t>Pushpa</t>
  </si>
  <si>
    <t>Heena</t>
  </si>
  <si>
    <t>Anuradha</t>
  </si>
  <si>
    <t>Asha</t>
  </si>
  <si>
    <t>Parul</t>
  </si>
  <si>
    <t>North</t>
  </si>
  <si>
    <t>Monitor</t>
  </si>
  <si>
    <t>South</t>
  </si>
  <si>
    <t>West</t>
  </si>
  <si>
    <t>Printer</t>
  </si>
  <si>
    <t>Customer_type</t>
  </si>
  <si>
    <t>Retail</t>
  </si>
  <si>
    <t xml:space="preserve">Wholesale </t>
  </si>
  <si>
    <t>Harishu</t>
  </si>
  <si>
    <t>Arjit</t>
  </si>
  <si>
    <t>Aman</t>
  </si>
  <si>
    <t>Arman</t>
  </si>
  <si>
    <t>Ashok</t>
  </si>
  <si>
    <t>Anurag</t>
  </si>
  <si>
    <t>Hari</t>
  </si>
  <si>
    <t>Harinath</t>
  </si>
  <si>
    <t>Hanuman</t>
  </si>
  <si>
    <t>Harishankar</t>
  </si>
  <si>
    <t>Raghu</t>
  </si>
  <si>
    <t>Raghuvanshi</t>
  </si>
  <si>
    <t>Ram</t>
  </si>
  <si>
    <t>Ranjan</t>
  </si>
  <si>
    <t>Poonam</t>
  </si>
  <si>
    <t>Pari</t>
  </si>
  <si>
    <t>Palak</t>
  </si>
  <si>
    <t>Pulkit</t>
  </si>
  <si>
    <t>Pushpi</t>
  </si>
  <si>
    <t>Priti</t>
  </si>
  <si>
    <t>Priya</t>
  </si>
  <si>
    <t>Prem</t>
  </si>
  <si>
    <t>Premanand</t>
  </si>
  <si>
    <t>Punit</t>
  </si>
  <si>
    <t>Priyanshu</t>
  </si>
  <si>
    <t>Pragya</t>
  </si>
  <si>
    <t>Sandeep</t>
  </si>
  <si>
    <t>Shiva</t>
  </si>
  <si>
    <t>Sakshi</t>
  </si>
  <si>
    <t>Suryansh</t>
  </si>
  <si>
    <t>Anil</t>
  </si>
  <si>
    <t>Ramu</t>
  </si>
  <si>
    <t>Ramnayan</t>
  </si>
  <si>
    <t>Mohit</t>
  </si>
  <si>
    <t>Mohani</t>
  </si>
  <si>
    <t>Manju</t>
  </si>
  <si>
    <t>Manjit</t>
  </si>
  <si>
    <t>Ashana</t>
  </si>
  <si>
    <t>Ashu</t>
  </si>
  <si>
    <t>Ashi</t>
  </si>
  <si>
    <t>Anshu</t>
  </si>
  <si>
    <t>Anshika</t>
  </si>
  <si>
    <t>Anju</t>
  </si>
  <si>
    <t>Aradhya</t>
  </si>
  <si>
    <t>Naina</t>
  </si>
  <si>
    <t>Niraj</t>
  </si>
  <si>
    <t>Nandani</t>
  </si>
  <si>
    <t>Nikhil</t>
  </si>
  <si>
    <t>Radhana</t>
  </si>
  <si>
    <t>Shyam</t>
  </si>
  <si>
    <t>Nura</t>
  </si>
  <si>
    <t>Ashtha</t>
  </si>
  <si>
    <t>Pranjal</t>
  </si>
  <si>
    <t>Heera</t>
  </si>
  <si>
    <t>Hamid</t>
  </si>
  <si>
    <t>Harshit</t>
  </si>
  <si>
    <t>Harishi</t>
  </si>
  <si>
    <t>Harilal</t>
  </si>
  <si>
    <t>Ramkishan</t>
  </si>
  <si>
    <t>Prashtha</t>
  </si>
  <si>
    <t>Ramjit</t>
  </si>
  <si>
    <t>Mansi</t>
  </si>
  <si>
    <t>Sunny</t>
  </si>
  <si>
    <t>Lucky</t>
  </si>
  <si>
    <t>Parinidhi</t>
  </si>
  <si>
    <t>Anjali</t>
  </si>
  <si>
    <t>Komal</t>
  </si>
  <si>
    <t>Narendra</t>
  </si>
  <si>
    <t>Date</t>
  </si>
  <si>
    <t>Row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</si>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</sst>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font>
    <font>
      <sz val="10"/>
      <name val="Arial"/>
      <family val="2"/>
    </font>
    <font>
      <b/>
      <sz val="14"/>
      <color theme="1"/>
      <name val="Bahnschrift SemiBold"/>
      <family val="2"/>
    </font>
    <font>
      <sz val="11"/>
      <color theme="1"/>
      <name val="Bahnschrift SemiBold"/>
      <family val="2"/>
    </font>
    <font>
      <sz val="11"/>
      <name val="Bahnschrift SemiBold"/>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2" fillId="2" borderId="1" xfId="0" applyFont="1" applyFill="1" applyBorder="1" applyAlignment="1">
      <alignment horizontal="left" vertical="center"/>
    </xf>
    <xf numFmtId="0" fontId="3" fillId="0" borderId="1" xfId="0" applyFont="1" applyBorder="1" applyAlignment="1">
      <alignment horizontal="left" vertical="center"/>
    </xf>
    <xf numFmtId="0" fontId="2" fillId="2" borderId="2" xfId="0" applyFont="1" applyFill="1" applyBorder="1" applyAlignment="1">
      <alignment horizontal="left" vertical="center"/>
    </xf>
    <xf numFmtId="0" fontId="3" fillId="0" borderId="2" xfId="0" applyFont="1" applyBorder="1" applyAlignment="1">
      <alignment horizontal="left" vertical="center"/>
    </xf>
    <xf numFmtId="14" fontId="0" fillId="0" borderId="0" xfId="0" applyNumberFormat="1"/>
    <xf numFmtId="0" fontId="2" fillId="2" borderId="3" xfId="0" applyFont="1" applyFill="1" applyBorder="1" applyAlignment="1">
      <alignment horizontal="left" vertical="center"/>
    </xf>
    <xf numFmtId="0" fontId="3" fillId="0" borderId="3" xfId="0" applyFont="1" applyBorder="1" applyAlignment="1">
      <alignment horizontal="left" vertical="center"/>
    </xf>
    <xf numFmtId="0" fontId="4" fillId="0" borderId="3" xfId="1" applyFont="1" applyBorder="1"/>
    <xf numFmtId="0" fontId="0" fillId="0" borderId="0" xfId="0" pivotButton="1"/>
    <xf numFmtId="0" fontId="0" fillId="0" borderId="0" xfId="0" applyAlignment="1">
      <alignment horizontal="left"/>
    </xf>
    <xf numFmtId="164" fontId="0" fillId="0" borderId="0" xfId="0" applyNumberFormat="1"/>
  </cellXfs>
  <cellStyles count="2">
    <cellStyle name="Normal" xfId="0" builtinId="0"/>
    <cellStyle name="Normal 2" xfId="1" xr:uid="{00000000-0005-0000-0000-000001000000}"/>
  </cellStyles>
  <dxfs count="14">
    <dxf>
      <numFmt numFmtId="19" formatCode="dd/mm/yyyy"/>
    </dxf>
    <dxf>
      <font>
        <b val="0"/>
        <i val="0"/>
        <strike val="0"/>
        <condense val="0"/>
        <extend val="0"/>
        <outline val="0"/>
        <shadow val="0"/>
        <u val="none"/>
        <vertAlign val="baseline"/>
        <sz val="11"/>
        <color theme="1"/>
        <name val="Bahnschrift SemiBold"/>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Bahnschrift SemiBold"/>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ahnschrift SemiBold"/>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ahnschrift SemiBold"/>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ahnschrift SemiBold"/>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1"/>
        <color theme="1"/>
        <name val="Bahnschrift SemiBold"/>
        <family val="2"/>
        <scheme val="none"/>
      </font>
      <alignment horizontal="left" vertical="center" textRotation="0" wrapText="0" indent="0" justifyLastLine="0" shrinkToFit="0" readingOrder="0"/>
    </dxf>
    <dxf>
      <font>
        <b/>
        <i val="0"/>
        <strike val="0"/>
        <condense val="0"/>
        <extend val="0"/>
        <outline val="0"/>
        <shadow val="0"/>
        <u val="none"/>
        <vertAlign val="baseline"/>
        <sz val="14"/>
        <color theme="1"/>
        <name val="Bahnschrift SemiBold"/>
        <family val="2"/>
        <scheme val="none"/>
      </font>
      <fill>
        <patternFill patternType="solid">
          <fgColor indexed="64"/>
          <bgColor rgb="FFFFFF00"/>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colors>
    <mruColors>
      <color rgb="FFFB744F"/>
      <color rgb="FF33CC33"/>
      <color rgb="FF10A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[Excel_Simple_Dashboard_Dataset.xlsx]pivot!PivotTable1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Arial" panose="020B0604020202020204" pitchFamily="34" charset="0"/>
              </a:defRPr>
            </a:pPr>
            <a:r>
              <a:rPr lang="en-US">
                <a:latin typeface="Century" panose="02040604050505020304" pitchFamily="18" charset="0"/>
                <a:cs typeface="Arial" panose="020B0604020202020204" pitchFamily="34" charset="0"/>
              </a:rPr>
              <a:t>Sales</a:t>
            </a:r>
            <a:r>
              <a:rPr lang="en-US" baseline="0">
                <a:latin typeface="Century" panose="02040604050505020304" pitchFamily="18" charset="0"/>
                <a:cs typeface="Arial" panose="020B0604020202020204" pitchFamily="34" charset="0"/>
              </a:rPr>
              <a:t> by Region</a:t>
            </a:r>
            <a:endParaRPr lang="en-US">
              <a:latin typeface="Century" panose="02040604050505020304" pitchFamily="18"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entury" panose="02040604050505020304" pitchFamily="18" charset="0"/>
              <a:ea typeface="+mn-ea"/>
              <a:cs typeface="Arial" panose="020B0604020202020204" pitchFamily="34"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pivot!$A$4:$A$7</c:f>
              <c:strCache>
                <c:ptCount val="4"/>
                <c:pt idx="0">
                  <c:v>East</c:v>
                </c:pt>
                <c:pt idx="1">
                  <c:v>North</c:v>
                </c:pt>
                <c:pt idx="2">
                  <c:v>South</c:v>
                </c:pt>
                <c:pt idx="3">
                  <c:v>West</c:v>
                </c:pt>
              </c:strCache>
            </c:strRef>
          </c:cat>
          <c:val>
            <c:numRef>
              <c:f>pivot!$B$4:$B$7</c:f>
              <c:numCache>
                <c:formatCode>"₹"\ #,##0</c:formatCode>
                <c:ptCount val="4"/>
                <c:pt idx="0">
                  <c:v>125770</c:v>
                </c:pt>
                <c:pt idx="1">
                  <c:v>72837</c:v>
                </c:pt>
                <c:pt idx="2">
                  <c:v>104750</c:v>
                </c:pt>
                <c:pt idx="3">
                  <c:v>12168</c:v>
                </c:pt>
              </c:numCache>
            </c:numRef>
          </c:val>
          <c:extLst>
            <c:ext xmlns:c16="http://schemas.microsoft.com/office/drawing/2014/chart" uri="{C3380CC4-5D6E-409C-BE32-E72D297353CC}">
              <c16:uniqueId val="{00000001-AD31-4185-9A46-074F6EE422BE}"/>
            </c:ext>
          </c:extLst>
        </c:ser>
        <c:dLbls>
          <c:dLblPos val="outEnd"/>
          <c:showLegendKey val="0"/>
          <c:showVal val="1"/>
          <c:showCatName val="0"/>
          <c:showSerName val="0"/>
          <c:showPercent val="0"/>
          <c:showBubbleSize val="0"/>
        </c:dLbls>
        <c:gapWidth val="100"/>
        <c:overlap val="-24"/>
        <c:axId val="217218575"/>
        <c:axId val="217215695"/>
      </c:barChart>
      <c:catAx>
        <c:axId val="217218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Century" panose="02040604050505020304" pitchFamily="18" charset="0"/>
                <a:ea typeface="+mn-ea"/>
                <a:cs typeface="+mn-cs"/>
              </a:defRPr>
            </a:pPr>
            <a:endParaRPr lang="en-US"/>
          </a:p>
        </c:txPr>
        <c:crossAx val="217215695"/>
        <c:crosses val="autoZero"/>
        <c:auto val="1"/>
        <c:lblAlgn val="ctr"/>
        <c:lblOffset val="100"/>
        <c:noMultiLvlLbl val="0"/>
      </c:catAx>
      <c:valAx>
        <c:axId val="2172156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72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[Excel_Simple_Dashboard_Dataset.xlsx]pivot!PivotTable2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Century" panose="02040604050505020304" pitchFamily="18" charset="0"/>
              </a:rPr>
              <a:t>Sales</a:t>
            </a:r>
            <a:r>
              <a:rPr lang="en-US" baseline="0">
                <a:latin typeface="Century" panose="02040604050505020304" pitchFamily="18" charset="0"/>
              </a:rPr>
              <a:t> by Customer</a:t>
            </a:r>
            <a:endParaRPr lang="en-US">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8323126275882"/>
          <c:y val="0.1257617728531856"/>
          <c:w val="0.83260936132983376"/>
          <c:h val="0.71173468274914387"/>
        </c:manualLayout>
      </c:layout>
      <c:barChart>
        <c:barDir val="bar"/>
        <c:grouping val="clustered"/>
        <c:varyColors val="0"/>
        <c:ser>
          <c:idx val="0"/>
          <c:order val="0"/>
          <c:tx>
            <c:strRef>
              <c:f>pivot!$F$3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pivot!$E$4:$E$13</c:f>
              <c:strCache>
                <c:ptCount val="10"/>
                <c:pt idx="0">
                  <c:v>Anuradha</c:v>
                </c:pt>
                <c:pt idx="1">
                  <c:v>Hari</c:v>
                </c:pt>
                <c:pt idx="2">
                  <c:v>Manju</c:v>
                </c:pt>
                <c:pt idx="3">
                  <c:v>Niraj</c:v>
                </c:pt>
                <c:pt idx="4">
                  <c:v>Premanand</c:v>
                </c:pt>
                <c:pt idx="5">
                  <c:v>Pulkit</c:v>
                </c:pt>
                <c:pt idx="6">
                  <c:v>Pushpa</c:v>
                </c:pt>
                <c:pt idx="7">
                  <c:v>Pushpi</c:v>
                </c:pt>
                <c:pt idx="8">
                  <c:v>Sakshi</c:v>
                </c:pt>
                <c:pt idx="9">
                  <c:v>Suryansh</c:v>
                </c:pt>
              </c:strCache>
            </c:strRef>
          </c:cat>
          <c:val>
            <c:numRef>
              <c:f>pivot!$F$4:$F$13</c:f>
              <c:numCache>
                <c:formatCode>"₹"\ #,##0</c:formatCode>
                <c:ptCount val="10"/>
                <c:pt idx="0">
                  <c:v>16717</c:v>
                </c:pt>
                <c:pt idx="1">
                  <c:v>7916</c:v>
                </c:pt>
                <c:pt idx="2">
                  <c:v>7989</c:v>
                </c:pt>
                <c:pt idx="3">
                  <c:v>7123</c:v>
                </c:pt>
                <c:pt idx="4">
                  <c:v>7110</c:v>
                </c:pt>
                <c:pt idx="5">
                  <c:v>7343</c:v>
                </c:pt>
                <c:pt idx="6">
                  <c:v>9082</c:v>
                </c:pt>
                <c:pt idx="7">
                  <c:v>14058</c:v>
                </c:pt>
                <c:pt idx="8">
                  <c:v>7451</c:v>
                </c:pt>
                <c:pt idx="9">
                  <c:v>6995</c:v>
                </c:pt>
              </c:numCache>
            </c:numRef>
          </c:val>
          <c:extLst>
            <c:ext xmlns:c16="http://schemas.microsoft.com/office/drawing/2014/chart" uri="{C3380CC4-5D6E-409C-BE32-E72D297353CC}">
              <c16:uniqueId val="{00000001-FF7B-4213-858C-75286A2C140C}"/>
            </c:ext>
          </c:extLst>
        </c:ser>
        <c:dLbls>
          <c:dLblPos val="outEnd"/>
          <c:showLegendKey val="0"/>
          <c:showVal val="1"/>
          <c:showCatName val="0"/>
          <c:showSerName val="0"/>
          <c:showPercent val="0"/>
          <c:showBubbleSize val="0"/>
        </c:dLbls>
        <c:gapWidth val="115"/>
        <c:overlap val="-20"/>
        <c:axId val="217223855"/>
        <c:axId val="217224335"/>
      </c:barChart>
      <c:catAx>
        <c:axId val="2172238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Century" panose="02040604050505020304" pitchFamily="18" charset="0"/>
                <a:ea typeface="+mn-ea"/>
                <a:cs typeface="+mn-cs"/>
              </a:defRPr>
            </a:pPr>
            <a:endParaRPr lang="en-US"/>
          </a:p>
        </c:txPr>
        <c:crossAx val="217224335"/>
        <c:crosses val="autoZero"/>
        <c:auto val="1"/>
        <c:lblAlgn val="ctr"/>
        <c:lblOffset val="100"/>
        <c:noMultiLvlLbl val="0"/>
      </c:catAx>
      <c:valAx>
        <c:axId val="217224335"/>
        <c:scaling>
          <c:orientation val="minMax"/>
        </c:scaling>
        <c:delete val="0"/>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22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[Excel_Simple_Dashboard_Dataset.xlsx]pivot!PivotTable3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Century" panose="02040604050505020304" pitchFamily="18" charset="0"/>
                <a:ea typeface="+mn-ea"/>
                <a:cs typeface="+mn-cs"/>
              </a:defRPr>
            </a:pPr>
            <a:r>
              <a:rPr lang="en-US">
                <a:latin typeface="Century" panose="02040604050505020304" pitchFamily="18" charset="0"/>
              </a:rPr>
              <a:t>SAles</a:t>
            </a:r>
            <a:r>
              <a:rPr lang="en-US" baseline="0">
                <a:latin typeface="Century" panose="02040604050505020304" pitchFamily="18" charset="0"/>
              </a:rPr>
              <a:t> by product</a:t>
            </a:r>
            <a:endParaRPr lang="en-US">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Century" panose="02040604050505020304" pitchFamily="18" charset="0"/>
              <a:ea typeface="+mn-ea"/>
              <a:cs typeface="+mn-cs"/>
            </a:defRPr>
          </a:pPr>
          <a:endParaRPr lang="en-US"/>
        </a:p>
      </c:txPr>
    </c:title>
    <c:autoTitleDeleted val="0"/>
    <c:pivotFmts>
      <c:pivotFmt>
        <c:idx val="0"/>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18018018018018E-2"/>
          <c:y val="0.16575854700854703"/>
          <c:w val="0.96036036036036032"/>
          <c:h val="0.67272065751396459"/>
        </c:manualLayout>
      </c:layout>
      <c:lineChart>
        <c:grouping val="stacked"/>
        <c:varyColors val="0"/>
        <c:ser>
          <c:idx val="0"/>
          <c:order val="0"/>
          <c:tx>
            <c:strRef>
              <c:f>pivot!$J$3</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pivot!$I$4:$I$9</c:f>
              <c:strCache>
                <c:ptCount val="6"/>
                <c:pt idx="0">
                  <c:v>CPU</c:v>
                </c:pt>
                <c:pt idx="1">
                  <c:v>Keyboard</c:v>
                </c:pt>
                <c:pt idx="2">
                  <c:v>Memory</c:v>
                </c:pt>
                <c:pt idx="3">
                  <c:v>Monitor</c:v>
                </c:pt>
                <c:pt idx="4">
                  <c:v>Mouse</c:v>
                </c:pt>
                <c:pt idx="5">
                  <c:v>Printer</c:v>
                </c:pt>
              </c:strCache>
            </c:strRef>
          </c:cat>
          <c:val>
            <c:numRef>
              <c:f>pivot!$J$4:$J$9</c:f>
              <c:numCache>
                <c:formatCode>"₹"\ #,##0</c:formatCode>
                <c:ptCount val="6"/>
                <c:pt idx="0">
                  <c:v>43060</c:v>
                </c:pt>
                <c:pt idx="1">
                  <c:v>14874</c:v>
                </c:pt>
                <c:pt idx="2">
                  <c:v>87360</c:v>
                </c:pt>
                <c:pt idx="3">
                  <c:v>30039</c:v>
                </c:pt>
                <c:pt idx="4">
                  <c:v>84780</c:v>
                </c:pt>
                <c:pt idx="5">
                  <c:v>55412</c:v>
                </c:pt>
              </c:numCache>
            </c:numRef>
          </c:val>
          <c:smooth val="0"/>
          <c:extLst>
            <c:ext xmlns:c16="http://schemas.microsoft.com/office/drawing/2014/chart" uri="{C3380CC4-5D6E-409C-BE32-E72D297353CC}">
              <c16:uniqueId val="{00000001-239F-48A6-838F-933EE8A0AAC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7217135"/>
        <c:axId val="217225295"/>
      </c:lineChart>
      <c:catAx>
        <c:axId val="217217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chemeClr val="bg1"/>
                </a:solidFill>
                <a:latin typeface="Century" panose="02040604050505020304" pitchFamily="18" charset="0"/>
                <a:ea typeface="+mn-ea"/>
                <a:cs typeface="+mn-cs"/>
              </a:defRPr>
            </a:pPr>
            <a:endParaRPr lang="en-US"/>
          </a:p>
        </c:txPr>
        <c:crossAx val="217225295"/>
        <c:crosses val="autoZero"/>
        <c:auto val="1"/>
        <c:lblAlgn val="ctr"/>
        <c:lblOffset val="100"/>
        <c:noMultiLvlLbl val="0"/>
      </c:catAx>
      <c:valAx>
        <c:axId val="217225295"/>
        <c:scaling>
          <c:orientation val="minMax"/>
        </c:scaling>
        <c:delete val="1"/>
        <c:axPos val="l"/>
        <c:numFmt formatCode="&quot;₹&quot;\ #,##0" sourceLinked="1"/>
        <c:majorTickMark val="none"/>
        <c:minorTickMark val="none"/>
        <c:tickLblPos val="nextTo"/>
        <c:crossAx val="2172171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[Excel_Simple_Dashboard_Dataset.xlsx]pivot!PivotTable4</c:name>
    <c:fmtId val="8"/>
  </c:pivotSource>
  <c:chart>
    <c:title>
      <c:tx>
        <c:rich>
          <a:bodyPr rot="0" spcFirstLastPara="1" vertOverflow="ellipsis" vert="horz" wrap="square" anchor="ctr" anchorCtr="1"/>
          <a:lstStyle/>
          <a:p>
            <a:pPr>
              <a:defRPr sz="1800" b="1" i="0" u="none" strike="noStrike" kern="1200" baseline="0">
                <a:solidFill>
                  <a:srgbClr val="10A040"/>
                </a:solidFill>
                <a:latin typeface="Century" panose="02040604050505020304" pitchFamily="18" charset="0"/>
                <a:ea typeface="+mn-ea"/>
                <a:cs typeface="+mn-cs"/>
              </a:defRPr>
            </a:pPr>
            <a:r>
              <a:rPr lang="en-US">
                <a:solidFill>
                  <a:srgbClr val="10A040"/>
                </a:solidFill>
                <a:latin typeface="Century" panose="02040604050505020304" pitchFamily="18" charset="0"/>
              </a:rPr>
              <a:t>Sales</a:t>
            </a:r>
            <a:r>
              <a:rPr lang="en-US" baseline="0">
                <a:solidFill>
                  <a:srgbClr val="10A040"/>
                </a:solidFill>
                <a:latin typeface="Century" panose="02040604050505020304" pitchFamily="18" charset="0"/>
              </a:rPr>
              <a:t> by Customer Type </a:t>
            </a:r>
            <a:endParaRPr lang="en-US">
              <a:solidFill>
                <a:srgbClr val="10A040"/>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10A040"/>
              </a:solidFill>
              <a:latin typeface="Century" panose="02040604050505020304" pitchFamily="18" charset="0"/>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52207673069992E-2"/>
          <c:y val="0.17194410063290583"/>
          <c:w val="0.75304549431321088"/>
          <c:h val="0.75629629629629624"/>
        </c:manualLayout>
      </c:layout>
      <c:pie3DChart>
        <c:varyColors val="1"/>
        <c:ser>
          <c:idx val="0"/>
          <c:order val="0"/>
          <c:tx>
            <c:strRef>
              <c:f>pivot!$M$3</c:f>
              <c:strCache>
                <c:ptCount val="1"/>
                <c:pt idx="0">
                  <c:v>Total</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AFF-4090-ACE5-1123D8357A4E}"/>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AFF-4090-ACE5-1123D8357A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pivot!$L$4:$L$5</c:f>
              <c:strCache>
                <c:ptCount val="2"/>
                <c:pt idx="0">
                  <c:v>Retail</c:v>
                </c:pt>
                <c:pt idx="1">
                  <c:v>Wholesale </c:v>
                </c:pt>
              </c:strCache>
            </c:strRef>
          </c:cat>
          <c:val>
            <c:numRef>
              <c:f>pivot!$M$4:$M$5</c:f>
              <c:numCache>
                <c:formatCode>"₹"\ #,##0</c:formatCode>
                <c:ptCount val="2"/>
                <c:pt idx="0">
                  <c:v>270439</c:v>
                </c:pt>
                <c:pt idx="1">
                  <c:v>45086</c:v>
                </c:pt>
              </c:numCache>
            </c:numRef>
          </c:val>
          <c:extLst>
            <c:ext xmlns:c16="http://schemas.microsoft.com/office/drawing/2014/chart" uri="{C3380CC4-5D6E-409C-BE32-E72D297353CC}">
              <c16:uniqueId val="{00000004-1AFF-4090-ACE5-1123D8357A4E}"/>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Century" panose="020406040505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0</xdr:row>
      <xdr:rowOff>30480</xdr:rowOff>
    </xdr:from>
    <xdr:to>
      <xdr:col>4</xdr:col>
      <xdr:colOff>411480</xdr:colOff>
      <xdr:row>5</xdr:row>
      <xdr:rowOff>60960</xdr:rowOff>
    </xdr:to>
    <xdr:pic>
      <xdr:nvPicPr>
        <xdr:cNvPr id="3" name="Picture 2">
          <a:extLst>
            <a:ext uri="{FF2B5EF4-FFF2-40B4-BE49-F238E27FC236}">
              <a16:creationId xmlns:a16="http://schemas.microsoft.com/office/drawing/2014/main" id="{CAD2C235-66D7-AD71-1A07-032736DD3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 y="30480"/>
          <a:ext cx="2781300" cy="944880"/>
        </a:xfrm>
        <a:prstGeom prst="rect">
          <a:avLst/>
        </a:prstGeom>
      </xdr:spPr>
    </xdr:pic>
    <xdr:clientData/>
  </xdr:twoCellAnchor>
  <xdr:twoCellAnchor>
    <xdr:from>
      <xdr:col>4</xdr:col>
      <xdr:colOff>426720</xdr:colOff>
      <xdr:row>0</xdr:row>
      <xdr:rowOff>38100</xdr:rowOff>
    </xdr:from>
    <xdr:to>
      <xdr:col>17</xdr:col>
      <xdr:colOff>426720</xdr:colOff>
      <xdr:row>5</xdr:row>
      <xdr:rowOff>83820</xdr:rowOff>
    </xdr:to>
    <xdr:sp macro="" textlink="">
      <xdr:nvSpPr>
        <xdr:cNvPr id="5" name="Rectangle: Rounded Corners 4">
          <a:extLst>
            <a:ext uri="{FF2B5EF4-FFF2-40B4-BE49-F238E27FC236}">
              <a16:creationId xmlns:a16="http://schemas.microsoft.com/office/drawing/2014/main" id="{BD84BE2F-45D8-6EB4-3953-F5D9AF3C1E35}"/>
            </a:ext>
          </a:extLst>
        </xdr:cNvPr>
        <xdr:cNvSpPr/>
      </xdr:nvSpPr>
      <xdr:spPr>
        <a:xfrm>
          <a:off x="2865120" y="38100"/>
          <a:ext cx="7924800" cy="9601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B744F"/>
            </a:solidFill>
          </a:endParaRPr>
        </a:p>
      </xdr:txBody>
    </xdr:sp>
    <xdr:clientData/>
  </xdr:twoCellAnchor>
  <xdr:twoCellAnchor>
    <xdr:from>
      <xdr:col>5</xdr:col>
      <xdr:colOff>205740</xdr:colOff>
      <xdr:row>0</xdr:row>
      <xdr:rowOff>68580</xdr:rowOff>
    </xdr:from>
    <xdr:to>
      <xdr:col>17</xdr:col>
      <xdr:colOff>76200</xdr:colOff>
      <xdr:row>4</xdr:row>
      <xdr:rowOff>114300</xdr:rowOff>
    </xdr:to>
    <xdr:sp macro="" textlink="">
      <xdr:nvSpPr>
        <xdr:cNvPr id="6" name="TextBox 5">
          <a:extLst>
            <a:ext uri="{FF2B5EF4-FFF2-40B4-BE49-F238E27FC236}">
              <a16:creationId xmlns:a16="http://schemas.microsoft.com/office/drawing/2014/main" id="{3D274732-28B3-5184-A8CF-38F2B27F5285}"/>
            </a:ext>
          </a:extLst>
        </xdr:cNvPr>
        <xdr:cNvSpPr txBox="1"/>
      </xdr:nvSpPr>
      <xdr:spPr>
        <a:xfrm>
          <a:off x="3253740" y="68580"/>
          <a:ext cx="7185660" cy="77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i="0">
              <a:latin typeface="Century" panose="02040604050505020304" pitchFamily="18" charset="0"/>
            </a:rPr>
            <a:t>Sales</a:t>
          </a:r>
          <a:r>
            <a:rPr lang="en-IN" sz="4800" b="1" i="0" baseline="0">
              <a:latin typeface="Century" panose="02040604050505020304" pitchFamily="18" charset="0"/>
            </a:rPr>
            <a:t> Dashboard Report</a:t>
          </a:r>
          <a:endParaRPr lang="en-IN" sz="4800" b="1" i="0">
            <a:latin typeface="Century" panose="02040604050505020304" pitchFamily="18" charset="0"/>
          </a:endParaRPr>
        </a:p>
      </xdr:txBody>
    </xdr:sp>
    <xdr:clientData/>
  </xdr:twoCellAnchor>
  <xdr:twoCellAnchor>
    <xdr:from>
      <xdr:col>0</xdr:col>
      <xdr:colOff>22860</xdr:colOff>
      <xdr:row>5</xdr:row>
      <xdr:rowOff>99060</xdr:rowOff>
    </xdr:from>
    <xdr:to>
      <xdr:col>7</xdr:col>
      <xdr:colOff>533400</xdr:colOff>
      <xdr:row>18</xdr:row>
      <xdr:rowOff>7620</xdr:rowOff>
    </xdr:to>
    <xdr:graphicFrame macro="">
      <xdr:nvGraphicFramePr>
        <xdr:cNvPr id="7" name="Chart 6">
          <a:extLst>
            <a:ext uri="{FF2B5EF4-FFF2-40B4-BE49-F238E27FC236}">
              <a16:creationId xmlns:a16="http://schemas.microsoft.com/office/drawing/2014/main" id="{9039017A-4FE5-4F5D-83C5-45872391F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251460</xdr:colOff>
      <xdr:row>18</xdr:row>
      <xdr:rowOff>22860</xdr:rowOff>
    </xdr:from>
    <xdr:to>
      <xdr:col>17</xdr:col>
      <xdr:colOff>403860</xdr:colOff>
      <xdr:row>33</xdr:row>
      <xdr:rowOff>30480</xdr:rowOff>
    </xdr:to>
    <xdr:graphicFrame macro="">
      <xdr:nvGraphicFramePr>
        <xdr:cNvPr id="8" name="Chart 7">
          <a:extLst>
            <a:ext uri="{FF2B5EF4-FFF2-40B4-BE49-F238E27FC236}">
              <a16:creationId xmlns:a16="http://schemas.microsoft.com/office/drawing/2014/main" id="{D26B3E21-54C3-4189-9260-ADCCAF523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541020</xdr:colOff>
      <xdr:row>5</xdr:row>
      <xdr:rowOff>68580</xdr:rowOff>
    </xdr:from>
    <xdr:to>
      <xdr:col>17</xdr:col>
      <xdr:colOff>388620</xdr:colOff>
      <xdr:row>18</xdr:row>
      <xdr:rowOff>22860</xdr:rowOff>
    </xdr:to>
    <xdr:graphicFrame macro="">
      <xdr:nvGraphicFramePr>
        <xdr:cNvPr id="9" name="Chart 8">
          <a:extLst>
            <a:ext uri="{FF2B5EF4-FFF2-40B4-BE49-F238E27FC236}">
              <a16:creationId xmlns:a16="http://schemas.microsoft.com/office/drawing/2014/main" id="{BCA9DD31-F367-4505-85E3-AD0542095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xdr:row>
      <xdr:rowOff>175260</xdr:rowOff>
    </xdr:from>
    <xdr:to>
      <xdr:col>6</xdr:col>
      <xdr:colOff>243840</xdr:colOff>
      <xdr:row>33</xdr:row>
      <xdr:rowOff>38100</xdr:rowOff>
    </xdr:to>
    <xdr:graphicFrame macro="">
      <xdr:nvGraphicFramePr>
        <xdr:cNvPr id="10" name="Chart 9">
          <a:extLst>
            <a:ext uri="{FF2B5EF4-FFF2-40B4-BE49-F238E27FC236}">
              <a16:creationId xmlns:a16="http://schemas.microsoft.com/office/drawing/2014/main" id="{F06144DB-0FEF-4913-B664-619A9B740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0</xdr:row>
      <xdr:rowOff>15240</xdr:rowOff>
    </xdr:from>
    <xdr:to>
      <xdr:col>23</xdr:col>
      <xdr:colOff>137160</xdr:colOff>
      <xdr:row>5</xdr:row>
      <xdr:rowOff>22860</xdr:rowOff>
    </xdr:to>
    <xdr:sp macro="" textlink="">
      <xdr:nvSpPr>
        <xdr:cNvPr id="11" name="Rectangle: Rounded Corners 10">
          <a:extLst>
            <a:ext uri="{FF2B5EF4-FFF2-40B4-BE49-F238E27FC236}">
              <a16:creationId xmlns:a16="http://schemas.microsoft.com/office/drawing/2014/main" id="{AA283A00-2BBA-7512-5310-15989E30216F}"/>
            </a:ext>
          </a:extLst>
        </xdr:cNvPr>
        <xdr:cNvSpPr/>
      </xdr:nvSpPr>
      <xdr:spPr>
        <a:xfrm>
          <a:off x="10820400" y="15240"/>
          <a:ext cx="333756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60000"/>
                <a:lumOff val="40000"/>
              </a:schemeClr>
            </a:solidFill>
          </a:endParaRPr>
        </a:p>
      </xdr:txBody>
    </xdr:sp>
    <xdr:clientData/>
  </xdr:twoCellAnchor>
  <xdr:twoCellAnchor>
    <xdr:from>
      <xdr:col>18</xdr:col>
      <xdr:colOff>373380</xdr:colOff>
      <xdr:row>0</xdr:row>
      <xdr:rowOff>15240</xdr:rowOff>
    </xdr:from>
    <xdr:to>
      <xdr:col>22</xdr:col>
      <xdr:colOff>472440</xdr:colOff>
      <xdr:row>3</xdr:row>
      <xdr:rowOff>53340</xdr:rowOff>
    </xdr:to>
    <xdr:sp macro="" textlink="">
      <xdr:nvSpPr>
        <xdr:cNvPr id="12" name="TextBox 11">
          <a:extLst>
            <a:ext uri="{FF2B5EF4-FFF2-40B4-BE49-F238E27FC236}">
              <a16:creationId xmlns:a16="http://schemas.microsoft.com/office/drawing/2014/main" id="{DFB05E7B-C0F6-521E-8A85-39F889B5F538}"/>
            </a:ext>
          </a:extLst>
        </xdr:cNvPr>
        <xdr:cNvSpPr txBox="1"/>
      </xdr:nvSpPr>
      <xdr:spPr>
        <a:xfrm>
          <a:off x="11346180" y="15240"/>
          <a:ext cx="25374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latin typeface="Century" panose="02040604050505020304" pitchFamily="18" charset="0"/>
            </a:rPr>
            <a:t>Total Sales</a:t>
          </a:r>
        </a:p>
      </xdr:txBody>
    </xdr:sp>
    <xdr:clientData/>
  </xdr:twoCellAnchor>
  <xdr:twoCellAnchor>
    <xdr:from>
      <xdr:col>19</xdr:col>
      <xdr:colOff>411480</xdr:colOff>
      <xdr:row>2</xdr:row>
      <xdr:rowOff>106680</xdr:rowOff>
    </xdr:from>
    <xdr:to>
      <xdr:col>22</xdr:col>
      <xdr:colOff>320040</xdr:colOff>
      <xdr:row>4</xdr:row>
      <xdr:rowOff>152400</xdr:rowOff>
    </xdr:to>
    <xdr:sp macro="" textlink="pivot!$P$4">
      <xdr:nvSpPr>
        <xdr:cNvPr id="13" name="TextBox 12">
          <a:extLst>
            <a:ext uri="{FF2B5EF4-FFF2-40B4-BE49-F238E27FC236}">
              <a16:creationId xmlns:a16="http://schemas.microsoft.com/office/drawing/2014/main" id="{8EFB7F77-F8D1-4FA1-6EE1-C0DFC96CD6BB}"/>
            </a:ext>
          </a:extLst>
        </xdr:cNvPr>
        <xdr:cNvSpPr txBox="1"/>
      </xdr:nvSpPr>
      <xdr:spPr>
        <a:xfrm>
          <a:off x="11993880" y="472440"/>
          <a:ext cx="17373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B6DC1E-4FE4-41E9-A049-936C43F9DDEF}" type="TxLink">
            <a:rPr lang="en-US" sz="1800" b="1" i="0" u="none" strike="noStrike">
              <a:solidFill>
                <a:srgbClr val="C00000"/>
              </a:solidFill>
              <a:latin typeface="Calibri"/>
              <a:ea typeface="Calibri"/>
              <a:cs typeface="Calibri"/>
            </a:rPr>
            <a:pPr/>
            <a:t>₹ 3,15,525</a:t>
          </a:fld>
          <a:endParaRPr lang="en-IN" sz="1800" b="1">
            <a:solidFill>
              <a:srgbClr val="C00000"/>
            </a:solidFill>
            <a:latin typeface="Century" panose="02040604050505020304" pitchFamily="18" charset="0"/>
          </a:endParaRPr>
        </a:p>
      </xdr:txBody>
    </xdr:sp>
    <xdr:clientData/>
  </xdr:twoCellAnchor>
  <xdr:twoCellAnchor editAs="oneCell">
    <xdr:from>
      <xdr:col>17</xdr:col>
      <xdr:colOff>434340</xdr:colOff>
      <xdr:row>18</xdr:row>
      <xdr:rowOff>30480</xdr:rowOff>
    </xdr:from>
    <xdr:to>
      <xdr:col>23</xdr:col>
      <xdr:colOff>15240</xdr:colOff>
      <xdr:row>33</xdr:row>
      <xdr:rowOff>30480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6F1DBD4-6D98-4F31-8C3F-F6999E3EF3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97540" y="3322320"/>
              <a:ext cx="32385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411480</xdr:colOff>
      <xdr:row>5</xdr:row>
      <xdr:rowOff>60960</xdr:rowOff>
    </xdr:from>
    <xdr:to>
      <xdr:col>23</xdr:col>
      <xdr:colOff>45720</xdr:colOff>
      <xdr:row>17</xdr:row>
      <xdr:rowOff>175260</xdr:rowOff>
    </xdr:to>
    <mc:AlternateContent xmlns:mc="http://schemas.openxmlformats.org/markup-compatibility/2006" xmlns:a14="http://schemas.microsoft.com/office/drawing/2010/main">
      <mc:Choice Requires="a14">
        <xdr:graphicFrame macro="">
          <xdr:nvGraphicFramePr>
            <xdr:cNvPr id="15" name="Items">
              <a:extLst>
                <a:ext uri="{FF2B5EF4-FFF2-40B4-BE49-F238E27FC236}">
                  <a16:creationId xmlns:a16="http://schemas.microsoft.com/office/drawing/2014/main" id="{96F90F7B-1A58-41D9-9215-05A0A0EEEC4D}"/>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10774680" y="975360"/>
              <a:ext cx="329184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3.930599768515" createdVersion="8" refreshedVersion="8" minRefreshableVersion="3" recordCount="86" xr:uid="{D3B4E5D9-BD86-4C09-834B-CB6DDF77C1E2}">
  <cacheSource type="worksheet">
    <worksheetSource name="Table1"/>
  </cacheSource>
  <cacheFields count="6">
    <cacheField name="Seller Name" numFmtId="0">
      <sharedItems count="78">
        <s v="Arman"/>
        <s v="Harishu"/>
        <s v="Raghav"/>
        <s v="Pooja"/>
        <s v="Mohan"/>
        <s v="Asha"/>
        <s v="Neha"/>
        <s v="Poonam"/>
        <s v="Pushpa"/>
        <s v="Heena"/>
        <s v="Parul"/>
        <s v="Anuradha"/>
        <s v="Ashana"/>
        <s v="Arjit"/>
        <s v="Hari"/>
        <s v="Raghu"/>
        <s v="Mohit"/>
        <s v="Ashu"/>
        <s v="Naina"/>
        <s v="Pari"/>
        <s v="Pranjal"/>
        <s v="Heera"/>
        <s v="Ramkishan"/>
        <s v="Ashi"/>
        <s v="Aman"/>
        <s v="Harinath"/>
        <s v="Raghuvanshi"/>
        <s v="Palak"/>
        <s v="Mohani"/>
        <s v="Anshu"/>
        <s v="Niraj"/>
        <s v="Pulkit"/>
        <s v="Pushpi"/>
        <s v="Priti"/>
        <s v="Narendra"/>
        <s v="Hamid"/>
        <s v="Prashtha"/>
        <s v="Priya"/>
        <s v="Ramjit"/>
        <s v="Prem"/>
        <s v="Premanand"/>
        <s v="Mansi"/>
        <s v="Punit"/>
        <s v="Harshit"/>
        <s v="Komal"/>
        <s v="Priyanshu"/>
        <s v="Pragya"/>
        <s v="Radhana"/>
        <s v="Shyam"/>
        <s v="Nura"/>
        <s v="Sandeep"/>
        <s v="Sunny"/>
        <s v="Lucky"/>
        <s v="Ajit"/>
        <s v="Harishi"/>
        <s v="Ram"/>
        <s v="Shiva"/>
        <s v="Manju"/>
        <s v="Ashtha"/>
        <s v="Nandani"/>
        <s v="Sakshi"/>
        <s v="Ashok"/>
        <s v="Hanuman"/>
        <s v="Ranjan"/>
        <s v="Suryansh"/>
        <s v="Anil"/>
        <s v="Parinidhi"/>
        <s v="Anshika"/>
        <s v="Anurag"/>
        <s v="Harishankar"/>
        <s v="Anjali"/>
        <s v="Anju"/>
        <s v="Ramu"/>
        <s v="Manjit"/>
        <s v="Aradhya"/>
        <s v="Nikhil"/>
        <s v="Ramnayan"/>
        <s v="Harilal"/>
      </sharedItems>
    </cacheField>
    <cacheField name="Region" numFmtId="0">
      <sharedItems count="4">
        <s v="East"/>
        <s v="North"/>
        <s v="South"/>
        <s v="West"/>
      </sharedItems>
    </cacheField>
    <cacheField name="Items" numFmtId="0">
      <sharedItems count="6">
        <s v="Mouse"/>
        <s v="Memory"/>
        <s v="Printer"/>
        <s v="CPU"/>
        <s v="Keyboard"/>
        <s v="Monitor"/>
      </sharedItems>
    </cacheField>
    <cacheField name="Sales" numFmtId="0">
      <sharedItems containsSemiMixedTypes="0" containsString="0" containsNumber="1" containsInteger="1" minValue="150" maxValue="7989"/>
    </cacheField>
    <cacheField name="Customer_type" numFmtId="0">
      <sharedItems count="2">
        <s v="Retail"/>
        <s v="Wholesale "/>
      </sharedItems>
    </cacheField>
    <cacheField name="Date" numFmtId="14">
      <sharedItems containsSemiMixedTypes="0" containsNonDate="0" containsDate="1" containsString="0" minDate="2025-02-10T00:00:00" maxDate="2026-11-26T00:00:00"/>
    </cacheField>
  </cacheFields>
  <extLst>
    <ext xmlns:x14="http://schemas.microsoft.com/office/spreadsheetml/2009/9/main" uri="{725AE2AE-9491-48be-B2B4-4EB974FC3084}">
      <x14:pivotCacheDefinition pivotCacheId="821991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x v="0"/>
    <n v="2500"/>
    <x v="0"/>
    <d v="2025-02-10T00:00:00"/>
  </r>
  <r>
    <x v="1"/>
    <x v="0"/>
    <x v="1"/>
    <n v="750"/>
    <x v="0"/>
    <d v="2025-02-11T00:00:00"/>
  </r>
  <r>
    <x v="2"/>
    <x v="0"/>
    <x v="0"/>
    <n v="1200"/>
    <x v="0"/>
    <d v="2025-02-12T00:00:00"/>
  </r>
  <r>
    <x v="3"/>
    <x v="0"/>
    <x v="2"/>
    <n v="930"/>
    <x v="0"/>
    <d v="2025-02-13T00:00:00"/>
  </r>
  <r>
    <x v="4"/>
    <x v="0"/>
    <x v="3"/>
    <n v="1500"/>
    <x v="0"/>
    <d v="2025-02-14T00:00:00"/>
  </r>
  <r>
    <x v="5"/>
    <x v="0"/>
    <x v="0"/>
    <n v="530"/>
    <x v="0"/>
    <d v="2025-02-15T00:00:00"/>
  </r>
  <r>
    <x v="6"/>
    <x v="0"/>
    <x v="4"/>
    <n v="1600"/>
    <x v="0"/>
    <d v="2025-02-16T00:00:00"/>
  </r>
  <r>
    <x v="7"/>
    <x v="0"/>
    <x v="3"/>
    <n v="840"/>
    <x v="0"/>
    <d v="2025-02-17T00:00:00"/>
  </r>
  <r>
    <x v="8"/>
    <x v="0"/>
    <x v="3"/>
    <n v="4000"/>
    <x v="1"/>
    <d v="2025-02-18T00:00:00"/>
  </r>
  <r>
    <x v="9"/>
    <x v="0"/>
    <x v="0"/>
    <n v="3470"/>
    <x v="1"/>
    <d v="2025-02-19T00:00:00"/>
  </r>
  <r>
    <x v="10"/>
    <x v="0"/>
    <x v="0"/>
    <n v="4540"/>
    <x v="1"/>
    <d v="2025-02-20T00:00:00"/>
  </r>
  <r>
    <x v="11"/>
    <x v="0"/>
    <x v="0"/>
    <n v="4121"/>
    <x v="1"/>
    <d v="2025-02-21T00:00:00"/>
  </r>
  <r>
    <x v="12"/>
    <x v="0"/>
    <x v="4"/>
    <n v="3318"/>
    <x v="1"/>
    <d v="2025-02-22T00:00:00"/>
  </r>
  <r>
    <x v="13"/>
    <x v="0"/>
    <x v="3"/>
    <n v="3940"/>
    <x v="0"/>
    <d v="2025-02-23T00:00:00"/>
  </r>
  <r>
    <x v="14"/>
    <x v="0"/>
    <x v="0"/>
    <n v="7916"/>
    <x v="0"/>
    <d v="2025-02-24T00:00:00"/>
  </r>
  <r>
    <x v="15"/>
    <x v="0"/>
    <x v="0"/>
    <n v="1872"/>
    <x v="1"/>
    <d v="2026-03-01T00:00:00"/>
  </r>
  <r>
    <x v="8"/>
    <x v="0"/>
    <x v="0"/>
    <n v="4602"/>
    <x v="1"/>
    <d v="2026-03-02T00:00:00"/>
  </r>
  <r>
    <x v="16"/>
    <x v="0"/>
    <x v="0"/>
    <n v="6708"/>
    <x v="1"/>
    <d v="2026-03-03T00:00:00"/>
  </r>
  <r>
    <x v="17"/>
    <x v="0"/>
    <x v="0"/>
    <n v="4406"/>
    <x v="1"/>
    <d v="2026-03-04T00:00:00"/>
  </r>
  <r>
    <x v="18"/>
    <x v="0"/>
    <x v="0"/>
    <n v="1844"/>
    <x v="1"/>
    <d v="2026-03-05T00:00:00"/>
  </r>
  <r>
    <x v="19"/>
    <x v="0"/>
    <x v="0"/>
    <n v="3318"/>
    <x v="1"/>
    <d v="2026-03-06T00:00:00"/>
  </r>
  <r>
    <x v="20"/>
    <x v="0"/>
    <x v="2"/>
    <n v="305"/>
    <x v="1"/>
    <d v="2026-03-07T00:00:00"/>
  </r>
  <r>
    <x v="21"/>
    <x v="0"/>
    <x v="0"/>
    <n v="2582"/>
    <x v="1"/>
    <d v="2026-03-08T00:00:00"/>
  </r>
  <r>
    <x v="22"/>
    <x v="0"/>
    <x v="3"/>
    <n v="256"/>
    <x v="0"/>
    <d v="2026-03-09T00:00:00"/>
  </r>
  <r>
    <x v="11"/>
    <x v="0"/>
    <x v="3"/>
    <n v="5666"/>
    <x v="0"/>
    <d v="2026-03-10T00:00:00"/>
  </r>
  <r>
    <x v="23"/>
    <x v="0"/>
    <x v="2"/>
    <n v="4909"/>
    <x v="0"/>
    <d v="2026-03-11T00:00:00"/>
  </r>
  <r>
    <x v="24"/>
    <x v="0"/>
    <x v="4"/>
    <n v="3611"/>
    <x v="0"/>
    <d v="2026-03-12T00:00:00"/>
  </r>
  <r>
    <x v="25"/>
    <x v="0"/>
    <x v="3"/>
    <n v="4531"/>
    <x v="0"/>
    <d v="2026-03-13T00:00:00"/>
  </r>
  <r>
    <x v="26"/>
    <x v="0"/>
    <x v="3"/>
    <n v="4700"/>
    <x v="0"/>
    <d v="2026-03-14T00:00:00"/>
  </r>
  <r>
    <x v="27"/>
    <x v="0"/>
    <x v="2"/>
    <n v="4481"/>
    <x v="0"/>
    <d v="2026-03-15T00:00:00"/>
  </r>
  <r>
    <x v="28"/>
    <x v="0"/>
    <x v="0"/>
    <n v="3828"/>
    <x v="0"/>
    <d v="2026-03-16T00:00:00"/>
  </r>
  <r>
    <x v="29"/>
    <x v="0"/>
    <x v="1"/>
    <n v="5376"/>
    <x v="0"/>
    <d v="2026-03-17T00:00:00"/>
  </r>
  <r>
    <x v="30"/>
    <x v="0"/>
    <x v="0"/>
    <n v="7123"/>
    <x v="0"/>
    <d v="2026-03-18T00:00:00"/>
  </r>
  <r>
    <x v="31"/>
    <x v="0"/>
    <x v="1"/>
    <n v="7343"/>
    <x v="0"/>
    <d v="2026-03-19T00:00:00"/>
  </r>
  <r>
    <x v="32"/>
    <x v="0"/>
    <x v="2"/>
    <n v="7154"/>
    <x v="0"/>
    <d v="2026-03-20T00:00:00"/>
  </r>
  <r>
    <x v="33"/>
    <x v="1"/>
    <x v="0"/>
    <n v="253"/>
    <x v="0"/>
    <d v="2026-03-21T00:00:00"/>
  </r>
  <r>
    <x v="34"/>
    <x v="1"/>
    <x v="5"/>
    <n v="1639"/>
    <x v="0"/>
    <d v="2026-03-22T00:00:00"/>
  </r>
  <r>
    <x v="35"/>
    <x v="1"/>
    <x v="5"/>
    <n v="2817"/>
    <x v="0"/>
    <d v="2026-03-23T00:00:00"/>
  </r>
  <r>
    <x v="36"/>
    <x v="1"/>
    <x v="5"/>
    <n v="2559"/>
    <x v="0"/>
    <d v="2026-03-24T00:00:00"/>
  </r>
  <r>
    <x v="37"/>
    <x v="1"/>
    <x v="5"/>
    <n v="338"/>
    <x v="0"/>
    <d v="2026-03-25T00:00:00"/>
  </r>
  <r>
    <x v="38"/>
    <x v="1"/>
    <x v="2"/>
    <n v="6336"/>
    <x v="0"/>
    <d v="2026-03-26T00:00:00"/>
  </r>
  <r>
    <x v="39"/>
    <x v="1"/>
    <x v="2"/>
    <n v="6054"/>
    <x v="0"/>
    <d v="2026-03-27T00:00:00"/>
  </r>
  <r>
    <x v="40"/>
    <x v="1"/>
    <x v="2"/>
    <n v="7110"/>
    <x v="0"/>
    <d v="2026-03-28T00:00:00"/>
  </r>
  <r>
    <x v="41"/>
    <x v="1"/>
    <x v="3"/>
    <n v="2526"/>
    <x v="0"/>
    <d v="2026-03-29T00:00:00"/>
  </r>
  <r>
    <x v="42"/>
    <x v="1"/>
    <x v="4"/>
    <n v="5691"/>
    <x v="0"/>
    <d v="2026-03-30T00:00:00"/>
  </r>
  <r>
    <x v="43"/>
    <x v="1"/>
    <x v="5"/>
    <n v="5611"/>
    <x v="0"/>
    <d v="2026-03-31T00:00:00"/>
  </r>
  <r>
    <x v="44"/>
    <x v="1"/>
    <x v="5"/>
    <n v="6147"/>
    <x v="0"/>
    <d v="2026-04-01T00:00:00"/>
  </r>
  <r>
    <x v="45"/>
    <x v="1"/>
    <x v="5"/>
    <n v="2485"/>
    <x v="0"/>
    <d v="2026-04-02T00:00:00"/>
  </r>
  <r>
    <x v="4"/>
    <x v="1"/>
    <x v="2"/>
    <n v="778"/>
    <x v="0"/>
    <d v="2026-04-03T00:00:00"/>
  </r>
  <r>
    <x v="46"/>
    <x v="1"/>
    <x v="1"/>
    <n v="4265"/>
    <x v="0"/>
    <d v="2026-04-04T00:00:00"/>
  </r>
  <r>
    <x v="47"/>
    <x v="1"/>
    <x v="1"/>
    <n v="4554"/>
    <x v="0"/>
    <d v="2026-04-05T00:00:00"/>
  </r>
  <r>
    <x v="48"/>
    <x v="1"/>
    <x v="4"/>
    <n v="654"/>
    <x v="0"/>
    <d v="2026-04-06T00:00:00"/>
  </r>
  <r>
    <x v="49"/>
    <x v="1"/>
    <x v="1"/>
    <n v="5097"/>
    <x v="0"/>
    <d v="2026-04-07T00:00:00"/>
  </r>
  <r>
    <x v="50"/>
    <x v="1"/>
    <x v="1"/>
    <n v="2086"/>
    <x v="0"/>
    <d v="2026-04-08T00:00:00"/>
  </r>
  <r>
    <x v="51"/>
    <x v="1"/>
    <x v="1"/>
    <n v="4596"/>
    <x v="0"/>
    <d v="2026-04-09T00:00:00"/>
  </r>
  <r>
    <x v="52"/>
    <x v="1"/>
    <x v="1"/>
    <n v="1241"/>
    <x v="0"/>
    <d v="2026-04-10T00:00:00"/>
  </r>
  <r>
    <x v="53"/>
    <x v="2"/>
    <x v="1"/>
    <n v="2056"/>
    <x v="0"/>
    <d v="2026-04-11T00:00:00"/>
  </r>
  <r>
    <x v="54"/>
    <x v="2"/>
    <x v="1"/>
    <n v="2559"/>
    <x v="0"/>
    <d v="2026-04-12T00:00:00"/>
  </r>
  <r>
    <x v="55"/>
    <x v="2"/>
    <x v="1"/>
    <n v="6634"/>
    <x v="0"/>
    <d v="2026-04-13T00:00:00"/>
  </r>
  <r>
    <x v="56"/>
    <x v="2"/>
    <x v="2"/>
    <n v="3710"/>
    <x v="0"/>
    <d v="2026-04-14T00:00:00"/>
  </r>
  <r>
    <x v="57"/>
    <x v="2"/>
    <x v="3"/>
    <n v="7989"/>
    <x v="0"/>
    <d v="2026-04-15T00:00:00"/>
  </r>
  <r>
    <x v="58"/>
    <x v="2"/>
    <x v="1"/>
    <n v="6133"/>
    <x v="0"/>
    <d v="2026-04-16T00:00:00"/>
  </r>
  <r>
    <x v="59"/>
    <x v="2"/>
    <x v="5"/>
    <n v="5033"/>
    <x v="0"/>
    <d v="2026-04-17T00:00:00"/>
  </r>
  <r>
    <x v="60"/>
    <x v="2"/>
    <x v="1"/>
    <n v="7451"/>
    <x v="0"/>
    <d v="2026-04-18T00:00:00"/>
  </r>
  <r>
    <x v="61"/>
    <x v="2"/>
    <x v="1"/>
    <n v="1113"/>
    <x v="0"/>
    <d v="2026-04-19T00:00:00"/>
  </r>
  <r>
    <x v="62"/>
    <x v="2"/>
    <x v="5"/>
    <n v="854"/>
    <x v="0"/>
    <d v="2026-04-20T00:00:00"/>
  </r>
  <r>
    <x v="63"/>
    <x v="2"/>
    <x v="1"/>
    <n v="6113"/>
    <x v="0"/>
    <d v="2026-04-21T00:00:00"/>
  </r>
  <r>
    <x v="64"/>
    <x v="2"/>
    <x v="1"/>
    <n v="6995"/>
    <x v="0"/>
    <d v="2026-04-22T00:00:00"/>
  </r>
  <r>
    <x v="65"/>
    <x v="2"/>
    <x v="5"/>
    <n v="2556"/>
    <x v="0"/>
    <d v="2026-04-23T00:00:00"/>
  </r>
  <r>
    <x v="32"/>
    <x v="2"/>
    <x v="2"/>
    <n v="6904"/>
    <x v="0"/>
    <d v="2026-04-24T00:00:00"/>
  </r>
  <r>
    <x v="9"/>
    <x v="2"/>
    <x v="2"/>
    <n v="1821"/>
    <x v="0"/>
    <d v="2026-11-10T00:00:00"/>
  </r>
  <r>
    <x v="66"/>
    <x v="2"/>
    <x v="1"/>
    <n v="5236"/>
    <x v="0"/>
    <d v="2026-11-11T00:00:00"/>
  </r>
  <r>
    <x v="11"/>
    <x v="2"/>
    <x v="1"/>
    <n v="5302"/>
    <x v="0"/>
    <d v="2026-11-12T00:00:00"/>
  </r>
  <r>
    <x v="67"/>
    <x v="2"/>
    <x v="1"/>
    <n v="2460"/>
    <x v="0"/>
    <d v="2026-11-13T00:00:00"/>
  </r>
  <r>
    <x v="68"/>
    <x v="2"/>
    <x v="0"/>
    <n v="6500"/>
    <x v="0"/>
    <d v="2026-11-14T00:00:00"/>
  </r>
  <r>
    <x v="69"/>
    <x v="2"/>
    <x v="0"/>
    <n v="6195"/>
    <x v="0"/>
    <d v="2026-11-15T00:00:00"/>
  </r>
  <r>
    <x v="70"/>
    <x v="2"/>
    <x v="3"/>
    <n v="5124"/>
    <x v="0"/>
    <d v="2026-11-16T00:00:00"/>
  </r>
  <r>
    <x v="11"/>
    <x v="2"/>
    <x v="3"/>
    <n v="1628"/>
    <x v="0"/>
    <d v="2026-11-17T00:00:00"/>
  </r>
  <r>
    <x v="71"/>
    <x v="2"/>
    <x v="0"/>
    <n v="4384"/>
    <x v="0"/>
    <d v="2026-11-18T00:00:00"/>
  </r>
  <r>
    <x v="72"/>
    <x v="3"/>
    <x v="2"/>
    <n v="250"/>
    <x v="0"/>
    <d v="2026-11-19T00:00:00"/>
  </r>
  <r>
    <x v="73"/>
    <x v="3"/>
    <x v="2"/>
    <n v="150"/>
    <x v="0"/>
    <d v="2026-11-20T00:00:00"/>
  </r>
  <r>
    <x v="74"/>
    <x v="3"/>
    <x v="2"/>
    <n v="3528"/>
    <x v="0"/>
    <d v="2026-11-21T00:00:00"/>
  </r>
  <r>
    <x v="75"/>
    <x v="3"/>
    <x v="3"/>
    <n v="360"/>
    <x v="0"/>
    <d v="2026-11-22T00:00:00"/>
  </r>
  <r>
    <x v="76"/>
    <x v="3"/>
    <x v="0"/>
    <n v="6888"/>
    <x v="0"/>
    <d v="2026-11-23T00:00:00"/>
  </r>
  <r>
    <x v="8"/>
    <x v="3"/>
    <x v="2"/>
    <n v="480"/>
    <x v="0"/>
    <d v="2026-11-24T00:00:00"/>
  </r>
  <r>
    <x v="77"/>
    <x v="3"/>
    <x v="2"/>
    <n v="512"/>
    <x v="0"/>
    <d v="2026-11-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3FF7A-55CE-45A0-87D4-76AE34A5D4D3}" name="PivotTable3"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3:J9" firstHeaderRow="1" firstDataRow="1" firstDataCol="1"/>
  <pivotFields count="6">
    <pivotField showAll="0" measureFilter="1">
      <items count="79">
        <item x="53"/>
        <item x="24"/>
        <item x="65"/>
        <item x="70"/>
        <item x="71"/>
        <item x="67"/>
        <item x="29"/>
        <item x="11"/>
        <item x="68"/>
        <item x="74"/>
        <item x="13"/>
        <item x="0"/>
        <item x="5"/>
        <item x="12"/>
        <item x="23"/>
        <item x="61"/>
        <item x="58"/>
        <item x="17"/>
        <item x="35"/>
        <item x="62"/>
        <item x="14"/>
        <item x="77"/>
        <item x="25"/>
        <item x="69"/>
        <item x="54"/>
        <item x="1"/>
        <item x="43"/>
        <item x="9"/>
        <item x="21"/>
        <item x="44"/>
        <item x="52"/>
        <item x="73"/>
        <item x="57"/>
        <item x="41"/>
        <item x="4"/>
        <item x="28"/>
        <item x="16"/>
        <item x="18"/>
        <item x="59"/>
        <item x="34"/>
        <item x="6"/>
        <item x="75"/>
        <item x="30"/>
        <item x="49"/>
        <item x="27"/>
        <item x="19"/>
        <item x="66"/>
        <item x="10"/>
        <item x="3"/>
        <item x="7"/>
        <item x="46"/>
        <item x="20"/>
        <item x="36"/>
        <item x="39"/>
        <item x="40"/>
        <item x="33"/>
        <item x="37"/>
        <item x="45"/>
        <item x="31"/>
        <item x="42"/>
        <item x="8"/>
        <item x="32"/>
        <item x="47"/>
        <item x="2"/>
        <item x="15"/>
        <item x="26"/>
        <item x="55"/>
        <item x="38"/>
        <item x="22"/>
        <item x="76"/>
        <item x="72"/>
        <item x="63"/>
        <item x="60"/>
        <item x="50"/>
        <item x="56"/>
        <item x="48"/>
        <item x="51"/>
        <item x="64"/>
        <item t="default"/>
      </items>
    </pivotField>
    <pivotField showAll="0">
      <items count="5">
        <item x="0"/>
        <item x="1"/>
        <item x="2"/>
        <item x="3"/>
        <item t="default"/>
      </items>
    </pivotField>
    <pivotField axis="axisRow" showAll="0">
      <items count="7">
        <item x="3"/>
        <item x="4"/>
        <item x="1"/>
        <item x="5"/>
        <item x="0"/>
        <item x="2"/>
        <item t="default"/>
      </items>
    </pivotField>
    <pivotField dataField="1" showAll="0"/>
    <pivotField showAll="0"/>
    <pivotField numFmtId="14" showAll="0"/>
  </pivotFields>
  <rowFields count="1">
    <field x="2"/>
  </rowFields>
  <rowItems count="6">
    <i>
      <x/>
    </i>
    <i>
      <x v="1"/>
    </i>
    <i>
      <x v="2"/>
    </i>
    <i>
      <x v="3"/>
    </i>
    <i>
      <x v="4"/>
    </i>
    <i>
      <x v="5"/>
    </i>
  </rowItems>
  <colItems count="1">
    <i/>
  </colItems>
  <dataFields count="1">
    <dataField name="Sum of Sales" fld="3" baseField="0" baseItem="0" numFmtId="164"/>
  </dataFields>
  <formats count="1">
    <format dxfId="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84D4BB-4D77-4CE4-ACF2-C70A01BE40C8}" name="PivotTable2"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3:F13" firstHeaderRow="1" firstDataRow="1" firstDataCol="1"/>
  <pivotFields count="6">
    <pivotField axis="axisRow" showAll="0" measureFilter="1">
      <items count="79">
        <item x="53"/>
        <item x="24"/>
        <item x="65"/>
        <item x="70"/>
        <item x="71"/>
        <item x="67"/>
        <item x="29"/>
        <item x="11"/>
        <item x="68"/>
        <item x="74"/>
        <item x="13"/>
        <item x="0"/>
        <item x="5"/>
        <item x="12"/>
        <item x="23"/>
        <item x="61"/>
        <item x="58"/>
        <item x="17"/>
        <item x="35"/>
        <item x="62"/>
        <item x="14"/>
        <item x="77"/>
        <item x="25"/>
        <item x="69"/>
        <item x="54"/>
        <item x="1"/>
        <item x="43"/>
        <item x="9"/>
        <item x="21"/>
        <item x="44"/>
        <item x="52"/>
        <item x="73"/>
        <item x="57"/>
        <item x="41"/>
        <item x="4"/>
        <item x="28"/>
        <item x="16"/>
        <item x="18"/>
        <item x="59"/>
        <item x="34"/>
        <item x="6"/>
        <item x="75"/>
        <item x="30"/>
        <item x="49"/>
        <item x="27"/>
        <item x="19"/>
        <item x="66"/>
        <item x="10"/>
        <item x="3"/>
        <item x="7"/>
        <item x="46"/>
        <item x="20"/>
        <item x="36"/>
        <item x="39"/>
        <item x="40"/>
        <item x="33"/>
        <item x="37"/>
        <item x="45"/>
        <item x="31"/>
        <item x="42"/>
        <item x="8"/>
        <item x="32"/>
        <item x="47"/>
        <item x="2"/>
        <item x="15"/>
        <item x="26"/>
        <item x="55"/>
        <item x="38"/>
        <item x="22"/>
        <item x="76"/>
        <item x="72"/>
        <item x="63"/>
        <item x="60"/>
        <item x="50"/>
        <item x="56"/>
        <item x="48"/>
        <item x="51"/>
        <item x="64"/>
        <item t="default"/>
      </items>
    </pivotField>
    <pivotField showAll="0">
      <items count="5">
        <item x="0"/>
        <item x="1"/>
        <item x="2"/>
        <item x="3"/>
        <item t="default"/>
      </items>
    </pivotField>
    <pivotField showAll="0">
      <items count="7">
        <item x="3"/>
        <item x="4"/>
        <item x="1"/>
        <item x="5"/>
        <item x="0"/>
        <item x="2"/>
        <item t="default"/>
      </items>
    </pivotField>
    <pivotField dataField="1" showAll="0"/>
    <pivotField showAll="0"/>
    <pivotField numFmtId="14" showAll="0"/>
  </pivotFields>
  <rowFields count="1">
    <field x="0"/>
  </rowFields>
  <rowItems count="10">
    <i>
      <x v="7"/>
    </i>
    <i>
      <x v="20"/>
    </i>
    <i>
      <x v="32"/>
    </i>
    <i>
      <x v="42"/>
    </i>
    <i>
      <x v="54"/>
    </i>
    <i>
      <x v="58"/>
    </i>
    <i>
      <x v="60"/>
    </i>
    <i>
      <x v="61"/>
    </i>
    <i>
      <x v="72"/>
    </i>
    <i>
      <x v="77"/>
    </i>
  </rowItems>
  <colItems count="1">
    <i/>
  </colItems>
  <dataFields count="1">
    <dataField name="Sum of Sales" fld="3" baseField="0" baseItem="0" numFmtId="164"/>
  </dataFields>
  <formats count="1">
    <format dxfId="1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588223-3857-46EC-AF0C-D47DEFFBDA1C}" name="PivotTable1"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3:B7" firstHeaderRow="1" firstDataRow="1" firstDataCol="1"/>
  <pivotFields count="6">
    <pivotField showAll="0"/>
    <pivotField axis="axisRow" showAll="0">
      <items count="5">
        <item x="0"/>
        <item x="1"/>
        <item x="2"/>
        <item x="3"/>
        <item t="default"/>
      </items>
    </pivotField>
    <pivotField showAll="0">
      <items count="7">
        <item x="3"/>
        <item x="4"/>
        <item x="1"/>
        <item x="5"/>
        <item x="0"/>
        <item x="2"/>
        <item t="default"/>
      </items>
    </pivotField>
    <pivotField dataField="1" showAll="0"/>
    <pivotField showAll="0"/>
    <pivotField numFmtId="14" showAll="0"/>
  </pivotFields>
  <rowFields count="1">
    <field x="1"/>
  </rowFields>
  <rowItems count="4">
    <i>
      <x/>
    </i>
    <i>
      <x v="1"/>
    </i>
    <i>
      <x v="2"/>
    </i>
    <i>
      <x v="3"/>
    </i>
  </rowItems>
  <colItems count="1">
    <i/>
  </colItems>
  <dataFields count="1">
    <dataField name="Sum of Sales" fld="3" baseField="0" baseItem="0" numFmtId="164"/>
  </dataFields>
  <formats count="1">
    <format dxfId="11">
      <pivotArea outline="0" collapsedLevelsAreSubtotals="1" fieldPosition="0"/>
    </format>
  </formats>
  <chartFormats count="16">
    <chartFormat chart="11"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3" format="4">
      <pivotArea type="data" outline="0" fieldPosition="0">
        <references count="2">
          <reference field="4294967294" count="1" selected="0">
            <x v="0"/>
          </reference>
          <reference field="1" count="1" selected="0">
            <x v="2"/>
          </reference>
        </references>
      </pivotArea>
    </chartFormat>
    <chartFormat chart="13" format="5">
      <pivotArea type="data" outline="0" fieldPosition="0">
        <references count="2">
          <reference field="4294967294" count="1" selected="0">
            <x v="0"/>
          </reference>
          <reference field="1"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0"/>
          </reference>
        </references>
      </pivotArea>
    </chartFormat>
    <chartFormat chart="14" format="8">
      <pivotArea type="data" outline="0" fieldPosition="0">
        <references count="2">
          <reference field="4294967294" count="1" selected="0">
            <x v="0"/>
          </reference>
          <reference field="1" count="1" selected="0">
            <x v="1"/>
          </reference>
        </references>
      </pivotArea>
    </chartFormat>
    <chartFormat chart="14" format="9">
      <pivotArea type="data" outline="0" fieldPosition="0">
        <references count="2">
          <reference field="4294967294" count="1" selected="0">
            <x v="0"/>
          </reference>
          <reference field="1" count="1" selected="0">
            <x v="2"/>
          </reference>
        </references>
      </pivotArea>
    </chartFormat>
    <chartFormat chart="14" format="10">
      <pivotArea type="data" outline="0" fieldPosition="0">
        <references count="2">
          <reference field="4294967294" count="1" selected="0">
            <x v="0"/>
          </reference>
          <reference field="1"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5" format="9">
      <pivotArea type="data" outline="0" fieldPosition="0">
        <references count="2">
          <reference field="4294967294" count="1" selected="0">
            <x v="0"/>
          </reference>
          <reference field="1" count="1" selected="0">
            <x v="2"/>
          </reference>
        </references>
      </pivotArea>
    </chartFormat>
    <chartFormat chart="1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5502DB-E57C-4004-9E04-9599E8CC8700}" name="PivotTable5"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3:P4" firstHeaderRow="1" firstDataRow="1" firstDataCol="0"/>
  <pivotFields count="6">
    <pivotField showAll="0" measureFilter="1">
      <items count="79">
        <item x="53"/>
        <item x="24"/>
        <item x="65"/>
        <item x="70"/>
        <item x="71"/>
        <item x="67"/>
        <item x="29"/>
        <item x="11"/>
        <item x="68"/>
        <item x="74"/>
        <item x="13"/>
        <item x="0"/>
        <item x="5"/>
        <item x="12"/>
        <item x="23"/>
        <item x="61"/>
        <item x="58"/>
        <item x="17"/>
        <item x="35"/>
        <item x="62"/>
        <item x="14"/>
        <item x="77"/>
        <item x="25"/>
        <item x="69"/>
        <item x="54"/>
        <item x="1"/>
        <item x="43"/>
        <item x="9"/>
        <item x="21"/>
        <item x="44"/>
        <item x="52"/>
        <item x="73"/>
        <item x="57"/>
        <item x="41"/>
        <item x="4"/>
        <item x="28"/>
        <item x="16"/>
        <item x="18"/>
        <item x="59"/>
        <item x="34"/>
        <item x="6"/>
        <item x="75"/>
        <item x="30"/>
        <item x="49"/>
        <item x="27"/>
        <item x="19"/>
        <item x="66"/>
        <item x="10"/>
        <item x="3"/>
        <item x="7"/>
        <item x="46"/>
        <item x="20"/>
        <item x="36"/>
        <item x="39"/>
        <item x="40"/>
        <item x="33"/>
        <item x="37"/>
        <item x="45"/>
        <item x="31"/>
        <item x="42"/>
        <item x="8"/>
        <item x="32"/>
        <item x="47"/>
        <item x="2"/>
        <item x="15"/>
        <item x="26"/>
        <item x="55"/>
        <item x="38"/>
        <item x="22"/>
        <item x="76"/>
        <item x="72"/>
        <item x="63"/>
        <item x="60"/>
        <item x="50"/>
        <item x="56"/>
        <item x="48"/>
        <item x="51"/>
        <item x="64"/>
        <item t="default"/>
      </items>
    </pivotField>
    <pivotField showAll="0">
      <items count="5">
        <item x="0"/>
        <item x="1"/>
        <item x="2"/>
        <item x="3"/>
        <item t="default"/>
      </items>
    </pivotField>
    <pivotField showAll="0">
      <items count="7">
        <item x="3"/>
        <item x="4"/>
        <item x="1"/>
        <item x="5"/>
        <item x="0"/>
        <item x="2"/>
        <item t="default"/>
      </items>
    </pivotField>
    <pivotField dataField="1" showAll="0"/>
    <pivotField showAll="0">
      <items count="3">
        <item x="0"/>
        <item x="1"/>
        <item t="default"/>
      </items>
    </pivotField>
    <pivotField numFmtId="14" showAll="0"/>
  </pivotFields>
  <rowItems count="1">
    <i/>
  </rowItems>
  <colItems count="1">
    <i/>
  </colItems>
  <dataFields count="1">
    <dataField name="Sum of Sales" fld="3" baseField="0" baseItem="0" numFmtId="164"/>
  </dataFields>
  <formats count="1">
    <format dxfId="12">
      <pivotArea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2C5AE8-A765-4EA8-8540-9DD79FA61212}" name="PivotTable4"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L3:M5" firstHeaderRow="1" firstDataRow="1" firstDataCol="1"/>
  <pivotFields count="6">
    <pivotField showAll="0" measureFilter="1">
      <items count="79">
        <item x="53"/>
        <item x="24"/>
        <item x="65"/>
        <item x="70"/>
        <item x="71"/>
        <item x="67"/>
        <item x="29"/>
        <item x="11"/>
        <item x="68"/>
        <item x="74"/>
        <item x="13"/>
        <item x="0"/>
        <item x="5"/>
        <item x="12"/>
        <item x="23"/>
        <item x="61"/>
        <item x="58"/>
        <item x="17"/>
        <item x="35"/>
        <item x="62"/>
        <item x="14"/>
        <item x="77"/>
        <item x="25"/>
        <item x="69"/>
        <item x="54"/>
        <item x="1"/>
        <item x="43"/>
        <item x="9"/>
        <item x="21"/>
        <item x="44"/>
        <item x="52"/>
        <item x="73"/>
        <item x="57"/>
        <item x="41"/>
        <item x="4"/>
        <item x="28"/>
        <item x="16"/>
        <item x="18"/>
        <item x="59"/>
        <item x="34"/>
        <item x="6"/>
        <item x="75"/>
        <item x="30"/>
        <item x="49"/>
        <item x="27"/>
        <item x="19"/>
        <item x="66"/>
        <item x="10"/>
        <item x="3"/>
        <item x="7"/>
        <item x="46"/>
        <item x="20"/>
        <item x="36"/>
        <item x="39"/>
        <item x="40"/>
        <item x="33"/>
        <item x="37"/>
        <item x="45"/>
        <item x="31"/>
        <item x="42"/>
        <item x="8"/>
        <item x="32"/>
        <item x="47"/>
        <item x="2"/>
        <item x="15"/>
        <item x="26"/>
        <item x="55"/>
        <item x="38"/>
        <item x="22"/>
        <item x="76"/>
        <item x="72"/>
        <item x="63"/>
        <item x="60"/>
        <item x="50"/>
        <item x="56"/>
        <item x="48"/>
        <item x="51"/>
        <item x="64"/>
        <item t="default"/>
      </items>
    </pivotField>
    <pivotField showAll="0">
      <items count="5">
        <item x="0"/>
        <item x="1"/>
        <item x="2"/>
        <item x="3"/>
        <item t="default"/>
      </items>
    </pivotField>
    <pivotField showAll="0">
      <items count="7">
        <item x="3"/>
        <item x="4"/>
        <item x="1"/>
        <item x="5"/>
        <item x="0"/>
        <item x="2"/>
        <item t="default"/>
      </items>
    </pivotField>
    <pivotField dataField="1" showAll="0"/>
    <pivotField axis="axisRow" showAll="0">
      <items count="3">
        <item x="0"/>
        <item x="1"/>
        <item t="default"/>
      </items>
    </pivotField>
    <pivotField numFmtId="14" showAll="0"/>
  </pivotFields>
  <rowFields count="1">
    <field x="4"/>
  </rowFields>
  <rowItems count="2">
    <i>
      <x/>
    </i>
    <i>
      <x v="1"/>
    </i>
  </rowItems>
  <colItems count="1">
    <i/>
  </colItems>
  <dataFields count="1">
    <dataField name="Sum of Sales" fld="3" baseField="0" baseItem="0" numFmtId="164"/>
  </dataFields>
  <formats count="1">
    <format dxfId="13">
      <pivotArea outline="0" collapsedLevelsAreSubtotals="1" fieldPosition="0"/>
    </format>
  </formats>
  <chartFormats count="3">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401568-60E9-4689-AEF8-49835A4EAD04}" sourceName="Region">
  <pivotTables>
    <pivotTable tabId="7" name="PivotTable1"/>
    <pivotTable tabId="7" name="PivotTable2"/>
    <pivotTable tabId="7" name="PivotTable3"/>
    <pivotTable tabId="7" name="PivotTable5"/>
  </pivotTables>
  <data>
    <tabular pivotCacheId="82199133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4ACF5413-EE70-43B4-8EE0-8604B4E186B5}" sourceName="Items">
  <pivotTables>
    <pivotTable tabId="7" name="PivotTable1"/>
    <pivotTable tabId="7" name="PivotTable2"/>
    <pivotTable tabId="7" name="PivotTable3"/>
    <pivotTable tabId="7" name="PivotTable5"/>
  </pivotTables>
  <data>
    <tabular pivotCacheId="821991337">
      <items count="6">
        <i x="3" s="1"/>
        <i x="4" s="1"/>
        <i x="1"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582439-4096-4DF5-B660-9D490B01887F}" cache="Slicer_Region" caption="Region" rowHeight="234950"/>
  <slicer name="Items" xr10:uid="{9AECC2C5-F545-413D-98CE-4B66BB101C67}" cache="Slicer_Items" caption="Item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1C3A2-9DAE-4BCD-8739-15BD585EA6F2}" name="Table1" displayName="Table1" ref="A1:F87" totalsRowShown="0" headerRowDxfId="8" dataDxfId="7" tableBorderDxfId="6">
  <autoFilter ref="A1:F87" xr:uid="{9EC1C3A2-9DAE-4BCD-8739-15BD585EA6F2}"/>
  <tableColumns count="6">
    <tableColumn id="1" xr3:uid="{84DD3B98-1DE0-4DAF-9699-DBE190AA6EE5}" name="Seller Name" dataDxfId="5"/>
    <tableColumn id="2" xr3:uid="{34003ABA-69C7-4610-8DC7-810893C14AD4}" name="Region" dataDxfId="4"/>
    <tableColumn id="3" xr3:uid="{26C867C0-E6D9-43D8-A71E-47DF5028CBAD}" name="Items" dataDxfId="3"/>
    <tableColumn id="4" xr3:uid="{EEAAFCE4-B8E6-4BCA-A302-6F06633A5DE8}" name="Sales" dataDxfId="2"/>
    <tableColumn id="5" xr3:uid="{695051EA-B4A9-4B4A-812C-AD1BE4E57C3F}" name="Customer_type" dataDxfId="1"/>
    <tableColumn id="6" xr3:uid="{551F9B9F-E89A-4D2C-A5C2-FB314084E4CB}"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
  <sheetViews>
    <sheetView zoomScale="145" zoomScaleNormal="145" workbookViewId="0"/>
  </sheetViews>
  <sheetFormatPr defaultRowHeight="14.4" x14ac:dyDescent="0.3"/>
  <cols>
    <col min="1" max="1" width="18.44140625" customWidth="1"/>
    <col min="2" max="2" width="12" customWidth="1"/>
    <col min="3" max="3" width="14.5546875" customWidth="1"/>
    <col min="4" max="4" width="13.5546875" customWidth="1"/>
    <col min="5" max="5" width="19.44140625" customWidth="1"/>
    <col min="6" max="6" width="10.6640625" bestFit="1" customWidth="1"/>
  </cols>
  <sheetData>
    <row r="1" spans="1:6" ht="20.399999999999999" customHeight="1" x14ac:dyDescent="0.3">
      <c r="A1" s="6" t="s">
        <v>0</v>
      </c>
      <c r="B1" s="1" t="s">
        <v>1</v>
      </c>
      <c r="C1" s="1" t="s">
        <v>2</v>
      </c>
      <c r="D1" s="1" t="s">
        <v>3</v>
      </c>
      <c r="E1" s="3" t="s">
        <v>24</v>
      </c>
      <c r="F1" s="3" t="s">
        <v>95</v>
      </c>
    </row>
    <row r="2" spans="1:6" ht="16.2" customHeight="1" x14ac:dyDescent="0.3">
      <c r="A2" s="7" t="s">
        <v>30</v>
      </c>
      <c r="B2" s="2" t="s">
        <v>5</v>
      </c>
      <c r="C2" s="2" t="s">
        <v>6</v>
      </c>
      <c r="D2" s="2">
        <v>2500</v>
      </c>
      <c r="E2" s="4" t="s">
        <v>25</v>
      </c>
      <c r="F2" s="5">
        <v>45698</v>
      </c>
    </row>
    <row r="3" spans="1:6" ht="16.2" customHeight="1" x14ac:dyDescent="0.3">
      <c r="A3" s="7" t="s">
        <v>27</v>
      </c>
      <c r="B3" s="2" t="s">
        <v>5</v>
      </c>
      <c r="C3" s="2" t="s">
        <v>7</v>
      </c>
      <c r="D3" s="2">
        <v>750</v>
      </c>
      <c r="E3" s="4" t="s">
        <v>25</v>
      </c>
      <c r="F3" s="5">
        <v>45699</v>
      </c>
    </row>
    <row r="4" spans="1:6" ht="16.2" customHeight="1" x14ac:dyDescent="0.3">
      <c r="A4" s="7" t="s">
        <v>8</v>
      </c>
      <c r="B4" s="2" t="s">
        <v>5</v>
      </c>
      <c r="C4" s="2" t="s">
        <v>6</v>
      </c>
      <c r="D4" s="2">
        <v>1200</v>
      </c>
      <c r="E4" s="4" t="s">
        <v>25</v>
      </c>
      <c r="F4" s="5">
        <v>45700</v>
      </c>
    </row>
    <row r="5" spans="1:6" ht="16.2" customHeight="1" x14ac:dyDescent="0.3">
      <c r="A5" s="7" t="s">
        <v>13</v>
      </c>
      <c r="B5" s="2" t="s">
        <v>5</v>
      </c>
      <c r="C5" s="2" t="s">
        <v>23</v>
      </c>
      <c r="D5" s="2">
        <v>930</v>
      </c>
      <c r="E5" s="4" t="s">
        <v>25</v>
      </c>
      <c r="F5" s="5">
        <v>45701</v>
      </c>
    </row>
    <row r="6" spans="1:6" ht="16.2" customHeight="1" x14ac:dyDescent="0.3">
      <c r="A6" s="7" t="s">
        <v>10</v>
      </c>
      <c r="B6" s="2" t="s">
        <v>5</v>
      </c>
      <c r="C6" s="2" t="s">
        <v>9</v>
      </c>
      <c r="D6" s="2">
        <v>1500</v>
      </c>
      <c r="E6" s="4" t="s">
        <v>25</v>
      </c>
      <c r="F6" s="5">
        <v>45702</v>
      </c>
    </row>
    <row r="7" spans="1:6" ht="16.2" customHeight="1" x14ac:dyDescent="0.3">
      <c r="A7" s="7" t="s">
        <v>17</v>
      </c>
      <c r="B7" s="2" t="s">
        <v>5</v>
      </c>
      <c r="C7" s="2" t="s">
        <v>6</v>
      </c>
      <c r="D7" s="2">
        <v>530</v>
      </c>
      <c r="E7" s="4" t="s">
        <v>25</v>
      </c>
      <c r="F7" s="5">
        <v>45703</v>
      </c>
    </row>
    <row r="8" spans="1:6" ht="16.2" customHeight="1" x14ac:dyDescent="0.3">
      <c r="A8" s="7" t="s">
        <v>11</v>
      </c>
      <c r="B8" s="2" t="s">
        <v>5</v>
      </c>
      <c r="C8" s="2" t="s">
        <v>12</v>
      </c>
      <c r="D8" s="2">
        <v>1600</v>
      </c>
      <c r="E8" s="4" t="s">
        <v>25</v>
      </c>
      <c r="F8" s="5">
        <v>45704</v>
      </c>
    </row>
    <row r="9" spans="1:6" ht="16.2" customHeight="1" x14ac:dyDescent="0.3">
      <c r="A9" s="7" t="s">
        <v>41</v>
      </c>
      <c r="B9" s="2" t="s">
        <v>5</v>
      </c>
      <c r="C9" s="2" t="s">
        <v>9</v>
      </c>
      <c r="D9" s="2">
        <v>840</v>
      </c>
      <c r="E9" s="4" t="s">
        <v>25</v>
      </c>
      <c r="F9" s="5">
        <v>45705</v>
      </c>
    </row>
    <row r="10" spans="1:6" ht="16.2" customHeight="1" x14ac:dyDescent="0.3">
      <c r="A10" s="7" t="s">
        <v>14</v>
      </c>
      <c r="B10" s="2" t="s">
        <v>5</v>
      </c>
      <c r="C10" s="2" t="s">
        <v>9</v>
      </c>
      <c r="D10" s="2">
        <v>4000</v>
      </c>
      <c r="E10" s="4" t="s">
        <v>26</v>
      </c>
      <c r="F10" s="5">
        <v>45706</v>
      </c>
    </row>
    <row r="11" spans="1:6" ht="16.2" customHeight="1" x14ac:dyDescent="0.3">
      <c r="A11" s="8" t="s">
        <v>15</v>
      </c>
      <c r="B11" s="2" t="s">
        <v>5</v>
      </c>
      <c r="C11" s="2" t="s">
        <v>6</v>
      </c>
      <c r="D11" s="2">
        <f ca="1">RANDBETWEEN(200,8000)</f>
        <v>3336</v>
      </c>
      <c r="E11" s="4" t="s">
        <v>26</v>
      </c>
      <c r="F11" s="5">
        <v>45707</v>
      </c>
    </row>
    <row r="12" spans="1:6" ht="16.2" customHeight="1" x14ac:dyDescent="0.3">
      <c r="A12" s="8" t="s">
        <v>18</v>
      </c>
      <c r="B12" s="2" t="s">
        <v>5</v>
      </c>
      <c r="C12" s="2" t="s">
        <v>6</v>
      </c>
      <c r="D12" s="2">
        <f t="shared" ref="D12:D75" ca="1" si="0">RANDBETWEEN(200,8000)</f>
        <v>5249</v>
      </c>
      <c r="E12" s="4" t="s">
        <v>26</v>
      </c>
      <c r="F12" s="5">
        <v>45708</v>
      </c>
    </row>
    <row r="13" spans="1:6" ht="16.2" customHeight="1" x14ac:dyDescent="0.3">
      <c r="A13" s="8" t="s">
        <v>16</v>
      </c>
      <c r="B13" s="2" t="s">
        <v>5</v>
      </c>
      <c r="C13" s="2" t="s">
        <v>6</v>
      </c>
      <c r="D13" s="2">
        <f t="shared" ca="1" si="0"/>
        <v>1327</v>
      </c>
      <c r="E13" s="4" t="s">
        <v>26</v>
      </c>
      <c r="F13" s="5">
        <v>45709</v>
      </c>
    </row>
    <row r="14" spans="1:6" ht="16.2" customHeight="1" x14ac:dyDescent="0.3">
      <c r="A14" s="8" t="s">
        <v>64</v>
      </c>
      <c r="B14" s="2" t="s">
        <v>5</v>
      </c>
      <c r="C14" s="2" t="s">
        <v>12</v>
      </c>
      <c r="D14" s="2">
        <f t="shared" ca="1" si="0"/>
        <v>735</v>
      </c>
      <c r="E14" s="4" t="s">
        <v>26</v>
      </c>
      <c r="F14" s="5">
        <v>45710</v>
      </c>
    </row>
    <row r="15" spans="1:6" ht="16.2" customHeight="1" x14ac:dyDescent="0.3">
      <c r="A15" s="7" t="s">
        <v>28</v>
      </c>
      <c r="B15" s="2" t="s">
        <v>5</v>
      </c>
      <c r="C15" s="2" t="s">
        <v>9</v>
      </c>
      <c r="D15" s="2">
        <f t="shared" ca="1" si="0"/>
        <v>2649</v>
      </c>
      <c r="E15" s="4" t="s">
        <v>25</v>
      </c>
      <c r="F15" s="5">
        <v>45711</v>
      </c>
    </row>
    <row r="16" spans="1:6" ht="16.2" customHeight="1" x14ac:dyDescent="0.3">
      <c r="A16" s="7" t="s">
        <v>33</v>
      </c>
      <c r="B16" s="2" t="s">
        <v>5</v>
      </c>
      <c r="C16" s="2" t="s">
        <v>6</v>
      </c>
      <c r="D16" s="2">
        <f t="shared" ca="1" si="0"/>
        <v>5663</v>
      </c>
      <c r="E16" s="4" t="s">
        <v>25</v>
      </c>
      <c r="F16" s="5">
        <v>45712</v>
      </c>
    </row>
    <row r="17" spans="1:6" ht="16.2" customHeight="1" x14ac:dyDescent="0.3">
      <c r="A17" s="7" t="s">
        <v>37</v>
      </c>
      <c r="B17" s="2" t="s">
        <v>5</v>
      </c>
      <c r="C17" s="2" t="s">
        <v>6</v>
      </c>
      <c r="D17" s="2">
        <f t="shared" ca="1" si="0"/>
        <v>2673</v>
      </c>
      <c r="E17" s="4" t="s">
        <v>26</v>
      </c>
      <c r="F17" s="5">
        <v>46082</v>
      </c>
    </row>
    <row r="18" spans="1:6" ht="16.2" customHeight="1" x14ac:dyDescent="0.3">
      <c r="A18" s="7" t="s">
        <v>14</v>
      </c>
      <c r="B18" s="2" t="s">
        <v>5</v>
      </c>
      <c r="C18" s="2" t="s">
        <v>6</v>
      </c>
      <c r="D18" s="2">
        <f t="shared" ca="1" si="0"/>
        <v>6186</v>
      </c>
      <c r="E18" s="4" t="s">
        <v>26</v>
      </c>
      <c r="F18" s="5">
        <v>46083</v>
      </c>
    </row>
    <row r="19" spans="1:6" ht="16.2" customHeight="1" x14ac:dyDescent="0.3">
      <c r="A19" s="7" t="s">
        <v>60</v>
      </c>
      <c r="B19" s="2" t="s">
        <v>5</v>
      </c>
      <c r="C19" s="2" t="s">
        <v>6</v>
      </c>
      <c r="D19" s="2">
        <f t="shared" ca="1" si="0"/>
        <v>6217</v>
      </c>
      <c r="E19" s="4" t="s">
        <v>26</v>
      </c>
      <c r="F19" s="5">
        <v>46084</v>
      </c>
    </row>
    <row r="20" spans="1:6" ht="16.2" customHeight="1" x14ac:dyDescent="0.3">
      <c r="A20" s="7" t="s">
        <v>65</v>
      </c>
      <c r="B20" s="2" t="s">
        <v>5</v>
      </c>
      <c r="C20" s="2" t="s">
        <v>6</v>
      </c>
      <c r="D20" s="2">
        <f t="shared" ca="1" si="0"/>
        <v>1206</v>
      </c>
      <c r="E20" s="4" t="s">
        <v>26</v>
      </c>
      <c r="F20" s="5">
        <v>46085</v>
      </c>
    </row>
    <row r="21" spans="1:6" ht="16.2" customHeight="1" x14ac:dyDescent="0.3">
      <c r="A21" s="7" t="s">
        <v>71</v>
      </c>
      <c r="B21" s="2" t="s">
        <v>5</v>
      </c>
      <c r="C21" s="2" t="s">
        <v>6</v>
      </c>
      <c r="D21" s="2">
        <f t="shared" ca="1" si="0"/>
        <v>857</v>
      </c>
      <c r="E21" s="4" t="s">
        <v>26</v>
      </c>
      <c r="F21" s="5">
        <v>46086</v>
      </c>
    </row>
    <row r="22" spans="1:6" ht="16.2" customHeight="1" x14ac:dyDescent="0.3">
      <c r="A22" s="7" t="s">
        <v>42</v>
      </c>
      <c r="B22" s="2" t="s">
        <v>5</v>
      </c>
      <c r="C22" s="2" t="s">
        <v>6</v>
      </c>
      <c r="D22" s="2">
        <f t="shared" ca="1" si="0"/>
        <v>6702</v>
      </c>
      <c r="E22" s="4" t="s">
        <v>26</v>
      </c>
      <c r="F22" s="5">
        <v>46087</v>
      </c>
    </row>
    <row r="23" spans="1:6" ht="16.2" customHeight="1" x14ac:dyDescent="0.3">
      <c r="A23" s="7" t="s">
        <v>79</v>
      </c>
      <c r="B23" s="2" t="s">
        <v>5</v>
      </c>
      <c r="C23" s="2" t="s">
        <v>23</v>
      </c>
      <c r="D23" s="2">
        <f t="shared" ca="1" si="0"/>
        <v>3852</v>
      </c>
      <c r="E23" s="4" t="s">
        <v>26</v>
      </c>
      <c r="F23" s="5">
        <v>46088</v>
      </c>
    </row>
    <row r="24" spans="1:6" ht="16.2" customHeight="1" x14ac:dyDescent="0.3">
      <c r="A24" s="8" t="s">
        <v>80</v>
      </c>
      <c r="B24" s="2" t="s">
        <v>5</v>
      </c>
      <c r="C24" s="2" t="s">
        <v>6</v>
      </c>
      <c r="D24" s="2">
        <f t="shared" ca="1" si="0"/>
        <v>6167</v>
      </c>
      <c r="E24" s="4" t="s">
        <v>26</v>
      </c>
      <c r="F24" s="5">
        <v>46089</v>
      </c>
    </row>
    <row r="25" spans="1:6" ht="16.2" customHeight="1" x14ac:dyDescent="0.3">
      <c r="A25" s="8" t="s">
        <v>85</v>
      </c>
      <c r="B25" s="2" t="s">
        <v>5</v>
      </c>
      <c r="C25" s="2" t="s">
        <v>9</v>
      </c>
      <c r="D25" s="2">
        <f t="shared" ca="1" si="0"/>
        <v>8000</v>
      </c>
      <c r="E25" s="4" t="s">
        <v>25</v>
      </c>
      <c r="F25" s="5">
        <v>46090</v>
      </c>
    </row>
    <row r="26" spans="1:6" ht="16.2" customHeight="1" x14ac:dyDescent="0.3">
      <c r="A26" s="8" t="s">
        <v>16</v>
      </c>
      <c r="B26" s="2" t="s">
        <v>5</v>
      </c>
      <c r="C26" s="2" t="s">
        <v>9</v>
      </c>
      <c r="D26" s="2">
        <f t="shared" ca="1" si="0"/>
        <v>4383</v>
      </c>
      <c r="E26" s="4" t="s">
        <v>25</v>
      </c>
      <c r="F26" s="5">
        <v>46091</v>
      </c>
    </row>
    <row r="27" spans="1:6" ht="16.2" customHeight="1" x14ac:dyDescent="0.3">
      <c r="A27" s="8" t="s">
        <v>66</v>
      </c>
      <c r="B27" s="2" t="s">
        <v>5</v>
      </c>
      <c r="C27" s="2" t="s">
        <v>23</v>
      </c>
      <c r="D27" s="2">
        <f t="shared" ca="1" si="0"/>
        <v>3828</v>
      </c>
      <c r="E27" s="4" t="s">
        <v>25</v>
      </c>
      <c r="F27" s="5">
        <v>46092</v>
      </c>
    </row>
    <row r="28" spans="1:6" ht="16.2" customHeight="1" x14ac:dyDescent="0.3">
      <c r="A28" s="7" t="s">
        <v>29</v>
      </c>
      <c r="B28" s="2" t="s">
        <v>5</v>
      </c>
      <c r="C28" s="2" t="s">
        <v>12</v>
      </c>
      <c r="D28" s="2">
        <f t="shared" ca="1" si="0"/>
        <v>3672</v>
      </c>
      <c r="E28" s="4" t="s">
        <v>25</v>
      </c>
      <c r="F28" s="5">
        <v>46093</v>
      </c>
    </row>
    <row r="29" spans="1:6" ht="16.2" customHeight="1" x14ac:dyDescent="0.3">
      <c r="A29" s="7" t="s">
        <v>34</v>
      </c>
      <c r="B29" s="2" t="s">
        <v>5</v>
      </c>
      <c r="C29" s="2" t="s">
        <v>9</v>
      </c>
      <c r="D29" s="2">
        <f t="shared" ca="1" si="0"/>
        <v>823</v>
      </c>
      <c r="E29" s="4" t="s">
        <v>25</v>
      </c>
      <c r="F29" s="5">
        <v>46094</v>
      </c>
    </row>
    <row r="30" spans="1:6" ht="16.2" customHeight="1" x14ac:dyDescent="0.3">
      <c r="A30" s="7" t="s">
        <v>38</v>
      </c>
      <c r="B30" s="2" t="s">
        <v>5</v>
      </c>
      <c r="C30" s="2" t="s">
        <v>9</v>
      </c>
      <c r="D30" s="2">
        <f t="shared" ca="1" si="0"/>
        <v>6061</v>
      </c>
      <c r="E30" s="4" t="s">
        <v>25</v>
      </c>
      <c r="F30" s="5">
        <v>46095</v>
      </c>
    </row>
    <row r="31" spans="1:6" ht="16.2" customHeight="1" x14ac:dyDescent="0.3">
      <c r="A31" s="7" t="s">
        <v>43</v>
      </c>
      <c r="B31" s="2" t="s">
        <v>5</v>
      </c>
      <c r="C31" s="2" t="s">
        <v>23</v>
      </c>
      <c r="D31" s="2">
        <f t="shared" ca="1" si="0"/>
        <v>2887</v>
      </c>
      <c r="E31" s="4" t="s">
        <v>25</v>
      </c>
      <c r="F31" s="5">
        <v>46096</v>
      </c>
    </row>
    <row r="32" spans="1:6" ht="16.2" customHeight="1" x14ac:dyDescent="0.3">
      <c r="A32" s="7" t="s">
        <v>61</v>
      </c>
      <c r="B32" s="2" t="s">
        <v>5</v>
      </c>
      <c r="C32" s="2" t="s">
        <v>6</v>
      </c>
      <c r="D32" s="2">
        <f t="shared" ca="1" si="0"/>
        <v>3558</v>
      </c>
      <c r="E32" s="4" t="s">
        <v>25</v>
      </c>
      <c r="F32" s="5">
        <v>46097</v>
      </c>
    </row>
    <row r="33" spans="1:6" ht="16.2" customHeight="1" x14ac:dyDescent="0.3">
      <c r="A33" s="7" t="s">
        <v>67</v>
      </c>
      <c r="B33" s="2" t="s">
        <v>5</v>
      </c>
      <c r="C33" s="2" t="s">
        <v>7</v>
      </c>
      <c r="D33" s="2">
        <f t="shared" ca="1" si="0"/>
        <v>2837</v>
      </c>
      <c r="E33" s="4" t="s">
        <v>25</v>
      </c>
      <c r="F33" s="5">
        <v>46098</v>
      </c>
    </row>
    <row r="34" spans="1:6" ht="16.2" customHeight="1" x14ac:dyDescent="0.3">
      <c r="A34" s="7" t="s">
        <v>72</v>
      </c>
      <c r="B34" s="2" t="s">
        <v>5</v>
      </c>
      <c r="C34" s="2" t="s">
        <v>6</v>
      </c>
      <c r="D34" s="2">
        <f t="shared" ca="1" si="0"/>
        <v>1938</v>
      </c>
      <c r="E34" s="4" t="s">
        <v>25</v>
      </c>
      <c r="F34" s="5">
        <v>46099</v>
      </c>
    </row>
    <row r="35" spans="1:6" ht="16.2" customHeight="1" x14ac:dyDescent="0.3">
      <c r="A35" s="7" t="s">
        <v>44</v>
      </c>
      <c r="B35" s="2" t="s">
        <v>5</v>
      </c>
      <c r="C35" s="2" t="s">
        <v>7</v>
      </c>
      <c r="D35" s="2">
        <f t="shared" ca="1" si="0"/>
        <v>7563</v>
      </c>
      <c r="E35" s="4" t="s">
        <v>25</v>
      </c>
      <c r="F35" s="5">
        <v>46100</v>
      </c>
    </row>
    <row r="36" spans="1:6" ht="16.2" customHeight="1" x14ac:dyDescent="0.3">
      <c r="A36" s="7" t="s">
        <v>45</v>
      </c>
      <c r="B36" s="2" t="s">
        <v>5</v>
      </c>
      <c r="C36" s="2" t="s">
        <v>23</v>
      </c>
      <c r="D36" s="2">
        <f t="shared" ca="1" si="0"/>
        <v>6741</v>
      </c>
      <c r="E36" s="4" t="s">
        <v>25</v>
      </c>
      <c r="F36" s="5">
        <v>46101</v>
      </c>
    </row>
    <row r="37" spans="1:6" ht="16.2" customHeight="1" x14ac:dyDescent="0.3">
      <c r="A37" s="7" t="s">
        <v>46</v>
      </c>
      <c r="B37" s="2" t="s">
        <v>19</v>
      </c>
      <c r="C37" s="2" t="s">
        <v>6</v>
      </c>
      <c r="D37" s="2">
        <f t="shared" ca="1" si="0"/>
        <v>362</v>
      </c>
      <c r="E37" s="4" t="s">
        <v>25</v>
      </c>
      <c r="F37" s="5">
        <v>46102</v>
      </c>
    </row>
    <row r="38" spans="1:6" ht="16.2" customHeight="1" x14ac:dyDescent="0.3">
      <c r="A38" s="7" t="s">
        <v>94</v>
      </c>
      <c r="B38" s="2" t="s">
        <v>19</v>
      </c>
      <c r="C38" s="2" t="s">
        <v>20</v>
      </c>
      <c r="D38" s="2">
        <f t="shared" ca="1" si="0"/>
        <v>4471</v>
      </c>
      <c r="E38" s="4" t="s">
        <v>25</v>
      </c>
      <c r="F38" s="5">
        <v>46103</v>
      </c>
    </row>
    <row r="39" spans="1:6" ht="16.2" customHeight="1" x14ac:dyDescent="0.3">
      <c r="A39" s="8" t="s">
        <v>81</v>
      </c>
      <c r="B39" s="2" t="s">
        <v>19</v>
      </c>
      <c r="C39" s="2" t="s">
        <v>20</v>
      </c>
      <c r="D39" s="2">
        <f t="shared" ca="1" si="0"/>
        <v>3129</v>
      </c>
      <c r="E39" s="4" t="s">
        <v>25</v>
      </c>
      <c r="F39" s="5">
        <v>46104</v>
      </c>
    </row>
    <row r="40" spans="1:6" ht="16.2" customHeight="1" x14ac:dyDescent="0.3">
      <c r="A40" s="8" t="s">
        <v>86</v>
      </c>
      <c r="B40" s="2" t="s">
        <v>19</v>
      </c>
      <c r="C40" s="2" t="s">
        <v>20</v>
      </c>
      <c r="D40" s="2">
        <f t="shared" ca="1" si="0"/>
        <v>917</v>
      </c>
      <c r="E40" s="4" t="s">
        <v>25</v>
      </c>
      <c r="F40" s="5">
        <v>46105</v>
      </c>
    </row>
    <row r="41" spans="1:6" ht="16.2" customHeight="1" x14ac:dyDescent="0.3">
      <c r="A41" s="7" t="s">
        <v>47</v>
      </c>
      <c r="B41" s="2" t="s">
        <v>19</v>
      </c>
      <c r="C41" s="2" t="s">
        <v>20</v>
      </c>
      <c r="D41" s="2">
        <f t="shared" ca="1" si="0"/>
        <v>4134</v>
      </c>
      <c r="E41" s="4" t="s">
        <v>25</v>
      </c>
      <c r="F41" s="5">
        <v>46106</v>
      </c>
    </row>
    <row r="42" spans="1:6" ht="16.2" customHeight="1" x14ac:dyDescent="0.3">
      <c r="A42" s="8" t="s">
        <v>87</v>
      </c>
      <c r="B42" s="2" t="s">
        <v>19</v>
      </c>
      <c r="C42" s="2" t="s">
        <v>23</v>
      </c>
      <c r="D42" s="2">
        <f t="shared" ca="1" si="0"/>
        <v>1929</v>
      </c>
      <c r="E42" s="4" t="s">
        <v>25</v>
      </c>
      <c r="F42" s="5">
        <v>46107</v>
      </c>
    </row>
    <row r="43" spans="1:6" ht="16.2" customHeight="1" x14ac:dyDescent="0.3">
      <c r="A43" s="7" t="s">
        <v>48</v>
      </c>
      <c r="B43" s="2" t="s">
        <v>19</v>
      </c>
      <c r="C43" s="2" t="s">
        <v>23</v>
      </c>
      <c r="D43" s="2">
        <f t="shared" ca="1" si="0"/>
        <v>7331</v>
      </c>
      <c r="E43" s="4" t="s">
        <v>25</v>
      </c>
      <c r="F43" s="5">
        <v>46108</v>
      </c>
    </row>
    <row r="44" spans="1:6" ht="16.2" customHeight="1" x14ac:dyDescent="0.3">
      <c r="A44" s="7" t="s">
        <v>49</v>
      </c>
      <c r="B44" s="2" t="s">
        <v>19</v>
      </c>
      <c r="C44" s="2" t="s">
        <v>23</v>
      </c>
      <c r="D44" s="2">
        <f t="shared" ca="1" si="0"/>
        <v>928</v>
      </c>
      <c r="E44" s="4" t="s">
        <v>25</v>
      </c>
      <c r="F44" s="5">
        <v>46109</v>
      </c>
    </row>
    <row r="45" spans="1:6" ht="16.2" customHeight="1" x14ac:dyDescent="0.3">
      <c r="A45" s="8" t="s">
        <v>88</v>
      </c>
      <c r="B45" s="2" t="s">
        <v>19</v>
      </c>
      <c r="C45" s="2" t="s">
        <v>9</v>
      </c>
      <c r="D45" s="2">
        <f t="shared" ca="1" si="0"/>
        <v>7703</v>
      </c>
      <c r="E45" s="4" t="s">
        <v>25</v>
      </c>
      <c r="F45" s="5">
        <v>46110</v>
      </c>
    </row>
    <row r="46" spans="1:6" ht="16.2" customHeight="1" x14ac:dyDescent="0.3">
      <c r="A46" s="7" t="s">
        <v>50</v>
      </c>
      <c r="B46" s="2" t="s">
        <v>19</v>
      </c>
      <c r="C46" s="2" t="s">
        <v>12</v>
      </c>
      <c r="D46" s="2">
        <f t="shared" ca="1" si="0"/>
        <v>2516</v>
      </c>
      <c r="E46" s="4" t="s">
        <v>25</v>
      </c>
      <c r="F46" s="5">
        <v>46111</v>
      </c>
    </row>
    <row r="47" spans="1:6" ht="16.2" customHeight="1" x14ac:dyDescent="0.3">
      <c r="A47" s="8" t="s">
        <v>82</v>
      </c>
      <c r="B47" s="2" t="s">
        <v>19</v>
      </c>
      <c r="C47" s="2" t="s">
        <v>20</v>
      </c>
      <c r="D47" s="2">
        <f t="shared" ca="1" si="0"/>
        <v>3095</v>
      </c>
      <c r="E47" s="4" t="s">
        <v>25</v>
      </c>
      <c r="F47" s="5">
        <v>46112</v>
      </c>
    </row>
    <row r="48" spans="1:6" ht="16.2" customHeight="1" x14ac:dyDescent="0.3">
      <c r="A48" s="8" t="s">
        <v>93</v>
      </c>
      <c r="B48" s="2" t="s">
        <v>19</v>
      </c>
      <c r="C48" s="2" t="s">
        <v>20</v>
      </c>
      <c r="D48" s="2">
        <f t="shared" ca="1" si="0"/>
        <v>4861</v>
      </c>
      <c r="E48" s="4" t="s">
        <v>25</v>
      </c>
      <c r="F48" s="5">
        <v>46113</v>
      </c>
    </row>
    <row r="49" spans="1:6" ht="16.2" customHeight="1" x14ac:dyDescent="0.3">
      <c r="A49" s="7" t="s">
        <v>51</v>
      </c>
      <c r="B49" s="2" t="s">
        <v>19</v>
      </c>
      <c r="C49" s="2" t="s">
        <v>20</v>
      </c>
      <c r="D49" s="2">
        <f t="shared" ca="1" si="0"/>
        <v>6572</v>
      </c>
      <c r="E49" s="4" t="s">
        <v>25</v>
      </c>
      <c r="F49" s="5">
        <v>46114</v>
      </c>
    </row>
    <row r="50" spans="1:6" ht="16.2" customHeight="1" x14ac:dyDescent="0.3">
      <c r="A50" s="7" t="s">
        <v>10</v>
      </c>
      <c r="B50" s="2" t="s">
        <v>19</v>
      </c>
      <c r="C50" s="2" t="s">
        <v>23</v>
      </c>
      <c r="D50" s="2">
        <f t="shared" ca="1" si="0"/>
        <v>6233</v>
      </c>
      <c r="E50" s="4" t="s">
        <v>25</v>
      </c>
      <c r="F50" s="5">
        <v>46115</v>
      </c>
    </row>
    <row r="51" spans="1:6" ht="16.2" customHeight="1" x14ac:dyDescent="0.3">
      <c r="A51" s="7" t="s">
        <v>52</v>
      </c>
      <c r="B51" s="2" t="s">
        <v>19</v>
      </c>
      <c r="C51" s="2" t="s">
        <v>7</v>
      </c>
      <c r="D51" s="2">
        <f t="shared" ca="1" si="0"/>
        <v>7469</v>
      </c>
      <c r="E51" s="4" t="s">
        <v>25</v>
      </c>
      <c r="F51" s="5">
        <v>46116</v>
      </c>
    </row>
    <row r="52" spans="1:6" ht="16.2" customHeight="1" x14ac:dyDescent="0.3">
      <c r="A52" s="7" t="s">
        <v>75</v>
      </c>
      <c r="B52" s="2" t="s">
        <v>19</v>
      </c>
      <c r="C52" s="2" t="s">
        <v>7</v>
      </c>
      <c r="D52" s="2">
        <f t="shared" ca="1" si="0"/>
        <v>6813</v>
      </c>
      <c r="E52" s="4" t="s">
        <v>25</v>
      </c>
      <c r="F52" s="5">
        <v>46117</v>
      </c>
    </row>
    <row r="53" spans="1:6" ht="16.2" customHeight="1" x14ac:dyDescent="0.3">
      <c r="A53" s="7" t="s">
        <v>76</v>
      </c>
      <c r="B53" s="2" t="s">
        <v>19</v>
      </c>
      <c r="C53" s="2" t="s">
        <v>12</v>
      </c>
      <c r="D53" s="2">
        <f t="shared" ca="1" si="0"/>
        <v>3581</v>
      </c>
      <c r="E53" s="4" t="s">
        <v>25</v>
      </c>
      <c r="F53" s="5">
        <v>46118</v>
      </c>
    </row>
    <row r="54" spans="1:6" ht="16.2" customHeight="1" x14ac:dyDescent="0.3">
      <c r="A54" s="7" t="s">
        <v>77</v>
      </c>
      <c r="B54" s="2" t="s">
        <v>19</v>
      </c>
      <c r="C54" s="2" t="s">
        <v>7</v>
      </c>
      <c r="D54" s="2">
        <f t="shared" ca="1" si="0"/>
        <v>5446</v>
      </c>
      <c r="E54" s="4" t="s">
        <v>25</v>
      </c>
      <c r="F54" s="5">
        <v>46119</v>
      </c>
    </row>
    <row r="55" spans="1:6" ht="16.2" customHeight="1" x14ac:dyDescent="0.3">
      <c r="A55" s="7" t="s">
        <v>53</v>
      </c>
      <c r="B55" s="2" t="s">
        <v>19</v>
      </c>
      <c r="C55" s="2" t="s">
        <v>7</v>
      </c>
      <c r="D55" s="2">
        <f t="shared" ca="1" si="0"/>
        <v>6598</v>
      </c>
      <c r="E55" s="4" t="s">
        <v>25</v>
      </c>
      <c r="F55" s="5">
        <v>46120</v>
      </c>
    </row>
    <row r="56" spans="1:6" ht="16.2" customHeight="1" x14ac:dyDescent="0.3">
      <c r="A56" s="8" t="s">
        <v>89</v>
      </c>
      <c r="B56" s="2" t="s">
        <v>19</v>
      </c>
      <c r="C56" s="2" t="s">
        <v>7</v>
      </c>
      <c r="D56" s="2">
        <f t="shared" ca="1" si="0"/>
        <v>299</v>
      </c>
      <c r="E56" s="4" t="s">
        <v>25</v>
      </c>
      <c r="F56" s="5">
        <v>46121</v>
      </c>
    </row>
    <row r="57" spans="1:6" ht="16.2" customHeight="1" x14ac:dyDescent="0.3">
      <c r="A57" s="8" t="s">
        <v>90</v>
      </c>
      <c r="B57" s="2" t="s">
        <v>19</v>
      </c>
      <c r="C57" s="2" t="s">
        <v>7</v>
      </c>
      <c r="D57" s="2">
        <f t="shared" ca="1" si="0"/>
        <v>2139</v>
      </c>
      <c r="E57" s="4" t="s">
        <v>25</v>
      </c>
      <c r="F57" s="5">
        <v>46122</v>
      </c>
    </row>
    <row r="58" spans="1:6" ht="16.2" customHeight="1" x14ac:dyDescent="0.3">
      <c r="A58" s="7" t="s">
        <v>4</v>
      </c>
      <c r="B58" s="2" t="s">
        <v>21</v>
      </c>
      <c r="C58" s="2" t="s">
        <v>7</v>
      </c>
      <c r="D58" s="2">
        <f t="shared" ca="1" si="0"/>
        <v>3526</v>
      </c>
      <c r="E58" s="4" t="s">
        <v>25</v>
      </c>
      <c r="F58" s="5">
        <v>46123</v>
      </c>
    </row>
    <row r="59" spans="1:6" ht="16.2" customHeight="1" x14ac:dyDescent="0.3">
      <c r="A59" s="7" t="s">
        <v>83</v>
      </c>
      <c r="B59" s="2" t="s">
        <v>21</v>
      </c>
      <c r="C59" s="2" t="s">
        <v>7</v>
      </c>
      <c r="D59" s="2">
        <f t="shared" ca="1" si="0"/>
        <v>4646</v>
      </c>
      <c r="E59" s="4" t="s">
        <v>25</v>
      </c>
      <c r="F59" s="5">
        <v>46124</v>
      </c>
    </row>
    <row r="60" spans="1:6" ht="16.2" customHeight="1" x14ac:dyDescent="0.3">
      <c r="A60" s="7" t="s">
        <v>39</v>
      </c>
      <c r="B60" s="2" t="s">
        <v>21</v>
      </c>
      <c r="C60" s="2" t="s">
        <v>7</v>
      </c>
      <c r="D60" s="2">
        <f t="shared" ca="1" si="0"/>
        <v>5569</v>
      </c>
      <c r="E60" s="4" t="s">
        <v>25</v>
      </c>
      <c r="F60" s="5">
        <v>46125</v>
      </c>
    </row>
    <row r="61" spans="1:6" ht="16.2" customHeight="1" x14ac:dyDescent="0.3">
      <c r="A61" s="7" t="s">
        <v>54</v>
      </c>
      <c r="B61" s="2" t="s">
        <v>21</v>
      </c>
      <c r="C61" s="2" t="s">
        <v>23</v>
      </c>
      <c r="D61" s="2">
        <f t="shared" ca="1" si="0"/>
        <v>3474</v>
      </c>
      <c r="E61" s="4" t="s">
        <v>25</v>
      </c>
      <c r="F61" s="5">
        <v>46126</v>
      </c>
    </row>
    <row r="62" spans="1:6" ht="16.2" customHeight="1" x14ac:dyDescent="0.3">
      <c r="A62" s="7" t="s">
        <v>62</v>
      </c>
      <c r="B62" s="2" t="s">
        <v>21</v>
      </c>
      <c r="C62" s="2" t="s">
        <v>9</v>
      </c>
      <c r="D62" s="2">
        <f t="shared" ca="1" si="0"/>
        <v>3287</v>
      </c>
      <c r="E62" s="4" t="s">
        <v>25</v>
      </c>
      <c r="F62" s="5">
        <v>46127</v>
      </c>
    </row>
    <row r="63" spans="1:6" ht="16.2" customHeight="1" x14ac:dyDescent="0.3">
      <c r="A63" s="7" t="s">
        <v>78</v>
      </c>
      <c r="B63" s="2" t="s">
        <v>21</v>
      </c>
      <c r="C63" s="2" t="s">
        <v>7</v>
      </c>
      <c r="D63" s="2">
        <f t="shared" ca="1" si="0"/>
        <v>5485</v>
      </c>
      <c r="E63" s="4" t="s">
        <v>25</v>
      </c>
      <c r="F63" s="5">
        <v>46128</v>
      </c>
    </row>
    <row r="64" spans="1:6" ht="16.2" customHeight="1" x14ac:dyDescent="0.3">
      <c r="A64" s="7" t="s">
        <v>73</v>
      </c>
      <c r="B64" s="2" t="s">
        <v>21</v>
      </c>
      <c r="C64" s="2" t="s">
        <v>20</v>
      </c>
      <c r="D64" s="2">
        <f t="shared" ca="1" si="0"/>
        <v>2779</v>
      </c>
      <c r="E64" s="4" t="s">
        <v>25</v>
      </c>
      <c r="F64" s="5">
        <v>46129</v>
      </c>
    </row>
    <row r="65" spans="1:6" ht="16.2" customHeight="1" x14ac:dyDescent="0.3">
      <c r="A65" s="7" t="s">
        <v>55</v>
      </c>
      <c r="B65" s="2" t="s">
        <v>21</v>
      </c>
      <c r="C65" s="2" t="s">
        <v>7</v>
      </c>
      <c r="D65" s="2">
        <f t="shared" ca="1" si="0"/>
        <v>578</v>
      </c>
      <c r="E65" s="4" t="s">
        <v>25</v>
      </c>
      <c r="F65" s="5">
        <v>46130</v>
      </c>
    </row>
    <row r="66" spans="1:6" ht="16.2" customHeight="1" x14ac:dyDescent="0.3">
      <c r="A66" s="7" t="s">
        <v>31</v>
      </c>
      <c r="B66" s="2" t="s">
        <v>21</v>
      </c>
      <c r="C66" s="2" t="s">
        <v>7</v>
      </c>
      <c r="D66" s="2">
        <f t="shared" ca="1" si="0"/>
        <v>2106</v>
      </c>
      <c r="E66" s="4" t="s">
        <v>25</v>
      </c>
      <c r="F66" s="5">
        <v>46131</v>
      </c>
    </row>
    <row r="67" spans="1:6" ht="16.2" customHeight="1" x14ac:dyDescent="0.3">
      <c r="A67" s="7" t="s">
        <v>35</v>
      </c>
      <c r="B67" s="2" t="s">
        <v>21</v>
      </c>
      <c r="C67" s="2" t="s">
        <v>20</v>
      </c>
      <c r="D67" s="2">
        <f t="shared" ca="1" si="0"/>
        <v>2423</v>
      </c>
      <c r="E67" s="4" t="s">
        <v>25</v>
      </c>
      <c r="F67" s="5">
        <v>46132</v>
      </c>
    </row>
    <row r="68" spans="1:6" ht="16.2" customHeight="1" x14ac:dyDescent="0.3">
      <c r="A68" s="7" t="s">
        <v>40</v>
      </c>
      <c r="B68" s="2" t="s">
        <v>21</v>
      </c>
      <c r="C68" s="2" t="s">
        <v>7</v>
      </c>
      <c r="D68" s="2">
        <f t="shared" ca="1" si="0"/>
        <v>6130</v>
      </c>
      <c r="E68" s="4" t="s">
        <v>25</v>
      </c>
      <c r="F68" s="5">
        <v>46133</v>
      </c>
    </row>
    <row r="69" spans="1:6" ht="16.2" customHeight="1" x14ac:dyDescent="0.3">
      <c r="A69" s="7" t="s">
        <v>56</v>
      </c>
      <c r="B69" s="2" t="s">
        <v>21</v>
      </c>
      <c r="C69" s="2" t="s">
        <v>7</v>
      </c>
      <c r="D69" s="2">
        <f t="shared" ca="1" si="0"/>
        <v>7474</v>
      </c>
      <c r="E69" s="4" t="s">
        <v>25</v>
      </c>
      <c r="F69" s="5">
        <v>46134</v>
      </c>
    </row>
    <row r="70" spans="1:6" ht="16.2" customHeight="1" x14ac:dyDescent="0.3">
      <c r="A70" s="7" t="s">
        <v>57</v>
      </c>
      <c r="B70" s="2" t="s">
        <v>21</v>
      </c>
      <c r="C70" s="2" t="s">
        <v>20</v>
      </c>
      <c r="D70" s="2">
        <f t="shared" ca="1" si="0"/>
        <v>1290</v>
      </c>
      <c r="E70" s="4" t="s">
        <v>25</v>
      </c>
      <c r="F70" s="5">
        <v>46135</v>
      </c>
    </row>
    <row r="71" spans="1:6" ht="16.2" customHeight="1" x14ac:dyDescent="0.3">
      <c r="A71" s="7" t="s">
        <v>45</v>
      </c>
      <c r="B71" s="2" t="s">
        <v>21</v>
      </c>
      <c r="C71" s="2" t="s">
        <v>23</v>
      </c>
      <c r="D71" s="2">
        <f t="shared" ca="1" si="0"/>
        <v>4522</v>
      </c>
      <c r="E71" s="4" t="s">
        <v>25</v>
      </c>
      <c r="F71" s="5">
        <v>46136</v>
      </c>
    </row>
    <row r="72" spans="1:6" ht="16.2" customHeight="1" x14ac:dyDescent="0.3">
      <c r="A72" s="8" t="s">
        <v>15</v>
      </c>
      <c r="B72" s="2" t="s">
        <v>21</v>
      </c>
      <c r="C72" s="2" t="s">
        <v>23</v>
      </c>
      <c r="D72" s="2">
        <f t="shared" ca="1" si="0"/>
        <v>5499</v>
      </c>
      <c r="E72" s="4" t="s">
        <v>25</v>
      </c>
      <c r="F72" s="5">
        <v>46336</v>
      </c>
    </row>
    <row r="73" spans="1:6" ht="16.2" customHeight="1" x14ac:dyDescent="0.3">
      <c r="A73" s="8" t="s">
        <v>91</v>
      </c>
      <c r="B73" s="2" t="s">
        <v>21</v>
      </c>
      <c r="C73" s="2" t="s">
        <v>7</v>
      </c>
      <c r="D73" s="2">
        <f t="shared" ca="1" si="0"/>
        <v>5265</v>
      </c>
      <c r="E73" s="4" t="s">
        <v>25</v>
      </c>
      <c r="F73" s="5">
        <v>46337</v>
      </c>
    </row>
    <row r="74" spans="1:6" ht="16.2" customHeight="1" x14ac:dyDescent="0.3">
      <c r="A74" s="8" t="s">
        <v>16</v>
      </c>
      <c r="B74" s="2" t="s">
        <v>21</v>
      </c>
      <c r="C74" s="2" t="s">
        <v>7</v>
      </c>
      <c r="D74" s="2">
        <f t="shared" ca="1" si="0"/>
        <v>2938</v>
      </c>
      <c r="E74" s="4" t="s">
        <v>25</v>
      </c>
      <c r="F74" s="5">
        <v>46338</v>
      </c>
    </row>
    <row r="75" spans="1:6" ht="16.2" customHeight="1" x14ac:dyDescent="0.3">
      <c r="A75" s="8" t="s">
        <v>68</v>
      </c>
      <c r="B75" s="2" t="s">
        <v>21</v>
      </c>
      <c r="C75" s="2" t="s">
        <v>7</v>
      </c>
      <c r="D75" s="2">
        <f t="shared" ca="1" si="0"/>
        <v>2033</v>
      </c>
      <c r="E75" s="4" t="s">
        <v>25</v>
      </c>
      <c r="F75" s="5">
        <v>46339</v>
      </c>
    </row>
    <row r="76" spans="1:6" ht="16.2" customHeight="1" x14ac:dyDescent="0.3">
      <c r="A76" s="7" t="s">
        <v>32</v>
      </c>
      <c r="B76" s="2" t="s">
        <v>21</v>
      </c>
      <c r="C76" s="2" t="s">
        <v>6</v>
      </c>
      <c r="D76" s="2">
        <f t="shared" ref="D76:D85" ca="1" si="1">RANDBETWEEN(200,8000)</f>
        <v>3397</v>
      </c>
      <c r="E76" s="4" t="s">
        <v>25</v>
      </c>
      <c r="F76" s="5">
        <v>46340</v>
      </c>
    </row>
    <row r="77" spans="1:6" ht="16.2" customHeight="1" x14ac:dyDescent="0.3">
      <c r="A77" s="7" t="s">
        <v>36</v>
      </c>
      <c r="B77" s="2" t="s">
        <v>21</v>
      </c>
      <c r="C77" s="2" t="s">
        <v>6</v>
      </c>
      <c r="D77" s="2">
        <f t="shared" ca="1" si="1"/>
        <v>1666</v>
      </c>
      <c r="E77" s="4" t="s">
        <v>25</v>
      </c>
      <c r="F77" s="5">
        <v>46341</v>
      </c>
    </row>
    <row r="78" spans="1:6" ht="16.2" customHeight="1" x14ac:dyDescent="0.3">
      <c r="A78" s="8" t="s">
        <v>92</v>
      </c>
      <c r="B78" s="2" t="s">
        <v>21</v>
      </c>
      <c r="C78" s="2" t="s">
        <v>9</v>
      </c>
      <c r="D78" s="2">
        <f t="shared" ca="1" si="1"/>
        <v>4797</v>
      </c>
      <c r="E78" s="4" t="s">
        <v>25</v>
      </c>
      <c r="F78" s="5">
        <v>46342</v>
      </c>
    </row>
    <row r="79" spans="1:6" ht="16.2" customHeight="1" x14ac:dyDescent="0.3">
      <c r="A79" s="8" t="s">
        <v>16</v>
      </c>
      <c r="B79" s="2" t="s">
        <v>21</v>
      </c>
      <c r="C79" s="2" t="s">
        <v>9</v>
      </c>
      <c r="D79" s="2">
        <f t="shared" ca="1" si="1"/>
        <v>3796</v>
      </c>
      <c r="E79" s="4" t="s">
        <v>25</v>
      </c>
      <c r="F79" s="5">
        <v>46343</v>
      </c>
    </row>
    <row r="80" spans="1:6" ht="16.2" customHeight="1" x14ac:dyDescent="0.3">
      <c r="A80" s="8" t="s">
        <v>69</v>
      </c>
      <c r="B80" s="2" t="s">
        <v>21</v>
      </c>
      <c r="C80" s="2" t="s">
        <v>6</v>
      </c>
      <c r="D80" s="2">
        <f t="shared" ca="1" si="1"/>
        <v>581</v>
      </c>
      <c r="E80" s="4" t="s">
        <v>25</v>
      </c>
      <c r="F80" s="5">
        <v>46344</v>
      </c>
    </row>
    <row r="81" spans="1:6" ht="16.2" customHeight="1" x14ac:dyDescent="0.3">
      <c r="A81" s="7" t="s">
        <v>58</v>
      </c>
      <c r="B81" s="2" t="s">
        <v>22</v>
      </c>
      <c r="C81" s="2" t="s">
        <v>23</v>
      </c>
      <c r="D81" s="2">
        <v>250</v>
      </c>
      <c r="E81" s="4" t="s">
        <v>25</v>
      </c>
      <c r="F81" s="5">
        <v>46345</v>
      </c>
    </row>
    <row r="82" spans="1:6" ht="16.2" customHeight="1" x14ac:dyDescent="0.3">
      <c r="A82" s="7" t="s">
        <v>63</v>
      </c>
      <c r="B82" s="2" t="s">
        <v>22</v>
      </c>
      <c r="C82" s="2" t="s">
        <v>23</v>
      </c>
      <c r="D82" s="2">
        <v>150</v>
      </c>
      <c r="E82" s="4" t="s">
        <v>25</v>
      </c>
      <c r="F82" s="5">
        <v>46346</v>
      </c>
    </row>
    <row r="83" spans="1:6" ht="16.2" customHeight="1" x14ac:dyDescent="0.3">
      <c r="A83" s="7" t="s">
        <v>70</v>
      </c>
      <c r="B83" s="2" t="s">
        <v>22</v>
      </c>
      <c r="C83" s="2" t="s">
        <v>23</v>
      </c>
      <c r="D83" s="2">
        <f t="shared" ca="1" si="1"/>
        <v>4457</v>
      </c>
      <c r="E83" s="4" t="s">
        <v>25</v>
      </c>
      <c r="F83" s="5">
        <v>46347</v>
      </c>
    </row>
    <row r="84" spans="1:6" ht="16.2" customHeight="1" x14ac:dyDescent="0.3">
      <c r="A84" s="7" t="s">
        <v>74</v>
      </c>
      <c r="B84" s="2" t="s">
        <v>22</v>
      </c>
      <c r="C84" s="2" t="s">
        <v>9</v>
      </c>
      <c r="D84" s="2">
        <v>360</v>
      </c>
      <c r="E84" s="4" t="s">
        <v>25</v>
      </c>
      <c r="F84" s="5">
        <v>46348</v>
      </c>
    </row>
    <row r="85" spans="1:6" ht="16.2" customHeight="1" x14ac:dyDescent="0.3">
      <c r="A85" s="7" t="s">
        <v>59</v>
      </c>
      <c r="B85" s="2" t="s">
        <v>22</v>
      </c>
      <c r="C85" s="2" t="s">
        <v>6</v>
      </c>
      <c r="D85" s="2">
        <f t="shared" ca="1" si="1"/>
        <v>368</v>
      </c>
      <c r="E85" s="4" t="s">
        <v>25</v>
      </c>
      <c r="F85" s="5">
        <v>46349</v>
      </c>
    </row>
    <row r="86" spans="1:6" ht="16.2" customHeight="1" x14ac:dyDescent="0.3">
      <c r="A86" s="7" t="s">
        <v>14</v>
      </c>
      <c r="B86" s="2" t="s">
        <v>22</v>
      </c>
      <c r="C86" s="2" t="s">
        <v>23</v>
      </c>
      <c r="D86" s="2">
        <v>480</v>
      </c>
      <c r="E86" s="4" t="s">
        <v>25</v>
      </c>
      <c r="F86" s="5">
        <v>46350</v>
      </c>
    </row>
    <row r="87" spans="1:6" ht="16.2" customHeight="1" x14ac:dyDescent="0.3">
      <c r="A87" s="8" t="s">
        <v>84</v>
      </c>
      <c r="B87" s="2" t="s">
        <v>22</v>
      </c>
      <c r="C87" s="2" t="s">
        <v>23</v>
      </c>
      <c r="D87" s="2">
        <v>512</v>
      </c>
      <c r="E87" s="4" t="s">
        <v>25</v>
      </c>
      <c r="F87" s="5">
        <v>46351</v>
      </c>
    </row>
    <row r="88" spans="1:6" x14ac:dyDescent="0.3">
      <c r="E88" s="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8EBCC-BB7F-4F1B-8CF9-C97DF4651C34}">
  <dimension ref="A3:P13"/>
  <sheetViews>
    <sheetView workbookViewId="0">
      <selection activeCell="A3" sqref="A3"/>
    </sheetView>
  </sheetViews>
  <sheetFormatPr defaultRowHeight="14.4" x14ac:dyDescent="0.3"/>
  <cols>
    <col min="1" max="1" width="12.5546875" bestFit="1" customWidth="1"/>
    <col min="2" max="2" width="11.6640625" bestFit="1" customWidth="1"/>
    <col min="5" max="5" width="12.5546875" bestFit="1" customWidth="1"/>
    <col min="6" max="6" width="11.6640625" bestFit="1" customWidth="1"/>
    <col min="9" max="9" width="12.5546875" bestFit="1" customWidth="1"/>
    <col min="10" max="10" width="11.6640625" bestFit="1" customWidth="1"/>
    <col min="12" max="12" width="12.5546875" bestFit="1" customWidth="1"/>
    <col min="13" max="13" width="11.6640625" bestFit="1" customWidth="1"/>
    <col min="16" max="17" width="11.6640625" bestFit="1" customWidth="1"/>
  </cols>
  <sheetData>
    <row r="3" spans="1:16" x14ac:dyDescent="0.3">
      <c r="A3" s="9" t="s">
        <v>96</v>
      </c>
      <c r="B3" t="s">
        <v>97</v>
      </c>
      <c r="E3" s="9" t="s">
        <v>96</v>
      </c>
      <c r="F3" t="s">
        <v>97</v>
      </c>
      <c r="I3" s="9" t="s">
        <v>96</v>
      </c>
      <c r="J3" t="s">
        <v>97</v>
      </c>
      <c r="L3" s="9" t="s">
        <v>96</v>
      </c>
      <c r="M3" t="s">
        <v>97</v>
      </c>
      <c r="P3" t="s">
        <v>97</v>
      </c>
    </row>
    <row r="4" spans="1:16" x14ac:dyDescent="0.3">
      <c r="A4" s="10" t="s">
        <v>5</v>
      </c>
      <c r="B4" s="11">
        <v>125770</v>
      </c>
      <c r="E4" s="10" t="s">
        <v>16</v>
      </c>
      <c r="F4" s="11">
        <v>16717</v>
      </c>
      <c r="I4" s="10" t="s">
        <v>9</v>
      </c>
      <c r="J4" s="11">
        <v>43060</v>
      </c>
      <c r="L4" s="10" t="s">
        <v>25</v>
      </c>
      <c r="M4" s="11">
        <v>270439</v>
      </c>
      <c r="P4" s="11">
        <v>315525</v>
      </c>
    </row>
    <row r="5" spans="1:16" x14ac:dyDescent="0.3">
      <c r="A5" s="10" t="s">
        <v>19</v>
      </c>
      <c r="B5" s="11">
        <v>72837</v>
      </c>
      <c r="E5" s="10" t="s">
        <v>33</v>
      </c>
      <c r="F5" s="11">
        <v>7916</v>
      </c>
      <c r="I5" s="10" t="s">
        <v>12</v>
      </c>
      <c r="J5" s="11">
        <v>14874</v>
      </c>
      <c r="L5" s="10" t="s">
        <v>26</v>
      </c>
      <c r="M5" s="11">
        <v>45086</v>
      </c>
    </row>
    <row r="6" spans="1:16" x14ac:dyDescent="0.3">
      <c r="A6" s="10" t="s">
        <v>21</v>
      </c>
      <c r="B6" s="11">
        <v>104750</v>
      </c>
      <c r="E6" s="10" t="s">
        <v>62</v>
      </c>
      <c r="F6" s="11">
        <v>7989</v>
      </c>
      <c r="I6" s="10" t="s">
        <v>7</v>
      </c>
      <c r="J6" s="11">
        <v>87360</v>
      </c>
    </row>
    <row r="7" spans="1:16" x14ac:dyDescent="0.3">
      <c r="A7" s="10" t="s">
        <v>22</v>
      </c>
      <c r="B7" s="11">
        <v>12168</v>
      </c>
      <c r="E7" s="10" t="s">
        <v>72</v>
      </c>
      <c r="F7" s="11">
        <v>7123</v>
      </c>
      <c r="I7" s="10" t="s">
        <v>20</v>
      </c>
      <c r="J7" s="11">
        <v>30039</v>
      </c>
    </row>
    <row r="8" spans="1:16" x14ac:dyDescent="0.3">
      <c r="E8" s="10" t="s">
        <v>49</v>
      </c>
      <c r="F8" s="11">
        <v>7110</v>
      </c>
      <c r="I8" s="10" t="s">
        <v>6</v>
      </c>
      <c r="J8" s="11">
        <v>84780</v>
      </c>
    </row>
    <row r="9" spans="1:16" x14ac:dyDescent="0.3">
      <c r="E9" s="10" t="s">
        <v>44</v>
      </c>
      <c r="F9" s="11">
        <v>7343</v>
      </c>
      <c r="I9" s="10" t="s">
        <v>23</v>
      </c>
      <c r="J9" s="11">
        <v>55412</v>
      </c>
    </row>
    <row r="10" spans="1:16" x14ac:dyDescent="0.3">
      <c r="E10" s="10" t="s">
        <v>14</v>
      </c>
      <c r="F10" s="11">
        <v>9082</v>
      </c>
    </row>
    <row r="11" spans="1:16" x14ac:dyDescent="0.3">
      <c r="E11" s="10" t="s">
        <v>45</v>
      </c>
      <c r="F11" s="11">
        <v>14058</v>
      </c>
    </row>
    <row r="12" spans="1:16" x14ac:dyDescent="0.3">
      <c r="E12" s="10" t="s">
        <v>55</v>
      </c>
      <c r="F12" s="11">
        <v>7451</v>
      </c>
    </row>
    <row r="13" spans="1:16" x14ac:dyDescent="0.3">
      <c r="E13" s="10" t="s">
        <v>56</v>
      </c>
      <c r="F13" s="11">
        <v>6995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84D3-9562-48B6-BF2B-55172B54D5B3}">
  <dimension ref="A1"/>
  <sheetViews>
    <sheetView showGridLines="0" tabSelected="1" workbookViewId="0">
      <selection activeCell="X25" sqref="X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Studio Second</dc:creator>
  <cp:lastModifiedBy>Sandeep Chaurasiya</cp:lastModifiedBy>
  <dcterms:created xsi:type="dcterms:W3CDTF">2025-02-14T08:59:29Z</dcterms:created>
  <dcterms:modified xsi:type="dcterms:W3CDTF">2026-07-12T10:57:13Z</dcterms:modified>
</cp:coreProperties>
</file>