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E05D1C50AD1D7F52/Documents/"/>
    </mc:Choice>
  </mc:AlternateContent>
  <xr:revisionPtr revIDLastSave="304" documentId="8_{4FE6BE22-135D-4147-9C72-85B457BA419C}" xr6:coauthVersionLast="47" xr6:coauthVersionMax="47" xr10:uidLastSave="{EF6E4EAC-7B8B-4017-B6EA-DE06C43D8488}"/>
  <bookViews>
    <workbookView xWindow="-108" yWindow="-108" windowWidth="23256" windowHeight="12456" activeTab="2" xr2:uid="{00000000-000D-0000-FFFF-FFFF00000000}"/>
  </bookViews>
  <sheets>
    <sheet name="HospitalData" sheetId="1" r:id="rId1"/>
    <sheet name="pivot" sheetId="2" r:id="rId2"/>
    <sheet name="Dashboard" sheetId="4" r:id="rId3"/>
  </sheets>
  <definedNames>
    <definedName name="Slicer_Department">#N/A</definedName>
    <definedName name="Slicer_Month">#N/A</definedName>
  </definedNames>
  <calcPr calcId="191029"/>
  <pivotCaches>
    <pivotCache cacheId="4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2" i="1"/>
</calcChain>
</file>

<file path=xl/sharedStrings.xml><?xml version="1.0" encoding="utf-8"?>
<sst xmlns="http://schemas.openxmlformats.org/spreadsheetml/2006/main" count="2451" uniqueCount="366">
  <si>
    <t>Patient ID</t>
  </si>
  <si>
    <t>Patient Name</t>
  </si>
  <si>
    <t>Gender</t>
  </si>
  <si>
    <t>Age</t>
  </si>
  <si>
    <t>Department</t>
  </si>
  <si>
    <t>Doctor</t>
  </si>
  <si>
    <t>Admission Date</t>
  </si>
  <si>
    <t>Discharge Date</t>
  </si>
  <si>
    <t>City</t>
  </si>
  <si>
    <t>Treatment Cost</t>
  </si>
  <si>
    <t>Payment Mode</t>
  </si>
  <si>
    <t>Recovery Status</t>
  </si>
  <si>
    <t>P0001</t>
  </si>
  <si>
    <t>Anjali</t>
  </si>
  <si>
    <t>Male</t>
  </si>
  <si>
    <t>Cardiology</t>
  </si>
  <si>
    <t>Dr. Verma</t>
  </si>
  <si>
    <t>Kanpur</t>
  </si>
  <si>
    <t>Card</t>
  </si>
  <si>
    <t>Discharged</t>
  </si>
  <si>
    <t>P0002</t>
  </si>
  <si>
    <t>Karan</t>
  </si>
  <si>
    <t>Female</t>
  </si>
  <si>
    <t>Dr. Patel</t>
  </si>
  <si>
    <t>Cash</t>
  </si>
  <si>
    <t>Under Treatment</t>
  </si>
  <si>
    <t>P0003</t>
  </si>
  <si>
    <t>Agra</t>
  </si>
  <si>
    <t>Recovered</t>
  </si>
  <si>
    <t>P0004</t>
  </si>
  <si>
    <t>Riya</t>
  </si>
  <si>
    <t>Pediatrics</t>
  </si>
  <si>
    <t>UPI</t>
  </si>
  <si>
    <t>P0005</t>
  </si>
  <si>
    <t>Pooja</t>
  </si>
  <si>
    <t>Dr. Sharma</t>
  </si>
  <si>
    <t>Delhi</t>
  </si>
  <si>
    <t>Insurance</t>
  </si>
  <si>
    <t>P0006</t>
  </si>
  <si>
    <t>Vikas</t>
  </si>
  <si>
    <t>Noida</t>
  </si>
  <si>
    <t>P0007</t>
  </si>
  <si>
    <t>Rohan</t>
  </si>
  <si>
    <t>Dr. Singh</t>
  </si>
  <si>
    <t>P0008</t>
  </si>
  <si>
    <t>ENT</t>
  </si>
  <si>
    <t>P0009</t>
  </si>
  <si>
    <t>Amit</t>
  </si>
  <si>
    <t>General</t>
  </si>
  <si>
    <t>P0010</t>
  </si>
  <si>
    <t>Priya</t>
  </si>
  <si>
    <t>Varanasi</t>
  </si>
  <si>
    <t>P0011</t>
  </si>
  <si>
    <t>Neurology</t>
  </si>
  <si>
    <t>Dr. Khan</t>
  </si>
  <si>
    <t>P0012</t>
  </si>
  <si>
    <t>P0013</t>
  </si>
  <si>
    <t>Sneha</t>
  </si>
  <si>
    <t>P0014</t>
  </si>
  <si>
    <t>P0015</t>
  </si>
  <si>
    <t>Diya</t>
  </si>
  <si>
    <t>Orthopedics</t>
  </si>
  <si>
    <t>P0016</t>
  </si>
  <si>
    <t>Lucknow</t>
  </si>
  <si>
    <t>P0017</t>
  </si>
  <si>
    <t>Arjun</t>
  </si>
  <si>
    <t>P0018</t>
  </si>
  <si>
    <t>P0019</t>
  </si>
  <si>
    <t>P0020</t>
  </si>
  <si>
    <t>P0021</t>
  </si>
  <si>
    <t>P0022</t>
  </si>
  <si>
    <t>P0023</t>
  </si>
  <si>
    <t>Aarav</t>
  </si>
  <si>
    <t>P0024</t>
  </si>
  <si>
    <t>P0025</t>
  </si>
  <si>
    <t>P0026</t>
  </si>
  <si>
    <t>P0027</t>
  </si>
  <si>
    <t>P0028</t>
  </si>
  <si>
    <t>P0029</t>
  </si>
  <si>
    <t>Rahul</t>
  </si>
  <si>
    <t>P0030</t>
  </si>
  <si>
    <t>P0031</t>
  </si>
  <si>
    <t>Anaya</t>
  </si>
  <si>
    <t>P0032</t>
  </si>
  <si>
    <t>P0033</t>
  </si>
  <si>
    <t>P0034</t>
  </si>
  <si>
    <t>P0035</t>
  </si>
  <si>
    <t>P0036</t>
  </si>
  <si>
    <t>P0037</t>
  </si>
  <si>
    <t>P0038</t>
  </si>
  <si>
    <t>P0039</t>
  </si>
  <si>
    <t>P0040</t>
  </si>
  <si>
    <t>P0041</t>
  </si>
  <si>
    <t>P0042</t>
  </si>
  <si>
    <t>P0043</t>
  </si>
  <si>
    <t>P0044</t>
  </si>
  <si>
    <t>P0045</t>
  </si>
  <si>
    <t>Vivaan</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</si>
  <si>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</si>
  <si>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</si>
  <si>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</si>
  <si>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</si>
  <si>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</si>
  <si>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</si>
  <si>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</si>
  <si>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</si>
  <si>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</si>
  <si>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</si>
  <si>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</si>
  <si>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</si>
  <si>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</si>
  <si>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</si>
  <si>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</si>
  <si>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</si>
  <si>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</si>
  <si>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</si>
  <si>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</si>
  <si>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</si>
  <si>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</si>
  <si>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</si>
  <si>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</si>
  <si>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</si>
  <si>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</si>
  <si>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</si>
  <si>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</si>
  <si>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Neha</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</si>
  <si>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</si>
  <si>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</si>
  <si>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</si>
  <si>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</si>
  <si>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</si>
  <si>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</si>
  <si>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</si>
  <si>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</si>
  <si>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</si>
  <si>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</si>
  <si>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</si>
  <si>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</si>
  <si>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</si>
  <si>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</si>
  <si>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</si>
  <si>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</si>
  <si>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</si>
  <si>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</si>
  <si>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</si>
  <si>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</si>
  <si>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</si>
  <si>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</si>
  <si>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</si>
  <si>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</si>
  <si>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</si>
  <si>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</si>
  <si>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</si>
  <si>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</si>
  <si>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</si>
  <si>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</si>
  <si>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</si>
  <si>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</si>
  <si>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</si>
  <si>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</si>
  <si>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</si>
  <si>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</si>
  <si>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</si>
  <si>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</si>
  <si>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</si>
  <si>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</si>
  <si>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</si>
  <si>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</si>
  <si>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</si>
  <si>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</si>
  <si>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</si>
  <si>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</si>
  <si>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</si>
  <si>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</si>
  <si>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</si>
  <si>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</si>
  <si>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</si>
  <si>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</si>
  <si>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</si>
  <si>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</si>
  <si>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</si>
  <si>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</si>
  <si>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</si>
  <si>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</si>
  <si>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</si>
  <si>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</si>
  <si>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</si>
  <si>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</si>
  <si>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</si>
  <si>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</si>
  <si>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</si>
  <si>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</si>
  <si>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</si>
  <si>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</si>
  <si>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</si>
  <si>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</si>
  <si>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</si>
  <si>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</si>
  <si>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</si>
  <si>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</si>
  <si>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</si>
  <si>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</si>
  <si>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</si>
  <si>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</si>
  <si>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</si>
  <si>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</si>
  <si>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</si>
  <si>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</si>
  <si>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</si>
  <si>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</si>
  <si>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</si>
  <si>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</si>
  <si>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</si>
  <si>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</si>
  <si>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</si>
  <si>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</si>
  <si>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</si>
  <si>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</si>
  <si>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</si>
  <si>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</si>
  <si>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</si>
  <si>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</si>
  <si>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</si>
  <si>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</si>
  <si>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</si>
  <si>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</si>
  <si>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</si>
  <si>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</si>
  <si>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</si>
  <si>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</si>
  <si>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</si>
  <si>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</si>
  <si>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</si>
  <si>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</si>
  <si>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</si>
  <si>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</si>
  <si>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</si>
  <si>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</si>
  <si>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</si>
  <si>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</si>
  <si>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</si>
  <si>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</si>
  <si>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</si>
  <si>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</si>
  <si>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</si>
  <si>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</si>
  <si>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</si>
  <si>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</si>
  <si>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</si>
  <si>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</si>
  <si>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</si>
  <si>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</si>
  <si>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</si>
  <si>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</si>
  <si>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</si>
  <si>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</si>
  <si>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</si>
  <si>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</si>
  <si>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</si>
  <si>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</si>
  <si>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</si>
  <si>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</si>
  <si>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</si>
  <si>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</si>
  <si>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</si>
  <si>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</si>
  <si>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</si>
  <si>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</si>
  <si>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</si>
  <si>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</si>
  <si>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</si>
  <si>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</si>
  <si>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</si>
  <si>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</si>
  <si>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</si>
  <si>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</si>
  <si>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</si>
  <si>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</si>
  <si>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</si>
  <si>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</si>
  <si>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</si>
  <si>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</si>
  <si>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</si>
  <si>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</si>
  <si>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</si>
  <si>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</si>
  <si>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</si>
  <si>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</si>
  <si>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</si>
  <si>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</si>
  <si>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</si>
  <si>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</si>
  <si>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</si>
  <si>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</si>
  <si>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</si>
  <si>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</si>
  <si>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</si>
  <si>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</si>
  <si>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</si>
  <si>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</si>
  <si>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</si>
  <si>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</si>
  <si>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</si>
  <si>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</si>
  <si>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</si>
  <si>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</si>
  <si>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</si>
  <si>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</si>
  <si>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</si>
  <si>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</si>
  <si>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</si>
  <si>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</si>
  <si>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</si>
  <si>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</si>
  <si>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</si>
  <si>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</si>
  <si>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</si>
  <si>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</si>
  <si>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</si>
  <si>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</si>
  <si>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</si>
  <si>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</si>
  <si>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</si>
  <si>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</si>
  <si>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</si>
  <si>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</si>
  <si>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</si>
  <si>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</si>
  <si>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</si>
  <si>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</si>
  <si>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</si>
  <si>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</si>
  <si>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</si>
  <si>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</si>
  <si>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</si>
  <si>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</si>
  <si>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</si>
  <si>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</si>
  <si>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</si>
  <si>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</si>
  <si>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</si>
  <si>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</si>
  <si>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</si>
  <si>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</si>
  <si>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</si>
  <si>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</si>
  <si>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</si>
  <si>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</si>
  <si>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</si>
  <si>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</si>
  <si>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</si>
  <si>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</si>
  <si>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</si>
  <si>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</si>
  <si>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Month</t>
  </si>
  <si>
    <t>Row Labels</t>
  </si>
  <si>
    <t>Grand Total</t>
  </si>
  <si>
    <t>Count of Patient ID</t>
  </si>
  <si>
    <t>Sum of Treatment Cost</t>
  </si>
  <si>
    <t>Apr</t>
  </si>
  <si>
    <t>Mar</t>
  </si>
  <si>
    <t>Jun</t>
  </si>
  <si>
    <t>May</t>
  </si>
  <si>
    <t>Jan</t>
  </si>
  <si>
    <t>Feb</t>
  </si>
  <si>
    <t>Count of Admission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</si>
</sst>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cellXfs>
  <cellStyles count="1">
    <cellStyle name="Normal" xfId="0" builtinId="0"/>
  </cellStyles>
  <dxfs count="4">
    <dxf>
      <numFmt numFmtId="165" formatCode="&quot;₹&quot;\ #,##0"/>
    </dxf>
    <dxf>
      <numFmt numFmtId="165" formatCode="&quot;₹&quot;\ #,##0"/>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[Hospital_Management_Data.xlsx]pivot!PivotTable24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pivot!$A$4:$A$10</c:f>
              <c:strCache>
                <c:ptCount val="6"/>
                <c:pt idx="0">
                  <c:v>Cardiology</c:v>
                </c:pt>
                <c:pt idx="1">
                  <c:v>ENT</c:v>
                </c:pt>
                <c:pt idx="2">
                  <c:v>General</c:v>
                </c:pt>
                <c:pt idx="3">
                  <c:v>Neurology</c:v>
                </c:pt>
                <c:pt idx="4">
                  <c:v>Orthopedics</c:v>
                </c:pt>
                <c:pt idx="5">
                  <c:v>Pediatrics</c:v>
                </c:pt>
              </c:strCache>
            </c:strRef>
          </c:cat>
          <c:val>
            <c:numRef>
              <c:f>pivot!$B$4:$B$10</c:f>
              <c:numCache>
                <c:formatCode>General</c:formatCode>
                <c:ptCount val="6"/>
                <c:pt idx="0">
                  <c:v>59</c:v>
                </c:pt>
                <c:pt idx="1">
                  <c:v>53</c:v>
                </c:pt>
                <c:pt idx="2">
                  <c:v>54</c:v>
                </c:pt>
                <c:pt idx="3">
                  <c:v>52</c:v>
                </c:pt>
                <c:pt idx="4">
                  <c:v>42</c:v>
                </c:pt>
                <c:pt idx="5">
                  <c:v>40</c:v>
                </c:pt>
              </c:numCache>
            </c:numRef>
          </c:val>
          <c:extLst>
            <c:ext xmlns:c16="http://schemas.microsoft.com/office/drawing/2014/chart" uri="{C3380CC4-5D6E-409C-BE32-E72D297353CC}">
              <c16:uniqueId val="{00000000-EAD1-40C5-A54F-AE603468C1F9}"/>
            </c:ext>
          </c:extLst>
        </c:ser>
        <c:dLbls>
          <c:dLblPos val="inEnd"/>
          <c:showLegendKey val="0"/>
          <c:showVal val="1"/>
          <c:showCatName val="0"/>
          <c:showSerName val="0"/>
          <c:showPercent val="0"/>
          <c:showBubbleSize val="0"/>
        </c:dLbls>
        <c:gapWidth val="65"/>
        <c:axId val="1425682463"/>
        <c:axId val="1205749103"/>
      </c:barChart>
      <c:catAx>
        <c:axId val="1425682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5749103"/>
        <c:crosses val="autoZero"/>
        <c:auto val="1"/>
        <c:lblAlgn val="ctr"/>
        <c:lblOffset val="100"/>
        <c:noMultiLvlLbl val="0"/>
      </c:catAx>
      <c:valAx>
        <c:axId val="1205749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256824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[Hospital_Management_Data.xlsx]pivot!PivotTable25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 by Areas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pivot!$D$4:$D$10</c:f>
              <c:strCache>
                <c:ptCount val="6"/>
                <c:pt idx="0">
                  <c:v>Agra</c:v>
                </c:pt>
                <c:pt idx="1">
                  <c:v>Delhi</c:v>
                </c:pt>
                <c:pt idx="2">
                  <c:v>Kanpur</c:v>
                </c:pt>
                <c:pt idx="3">
                  <c:v>Lucknow</c:v>
                </c:pt>
                <c:pt idx="4">
                  <c:v>Noida</c:v>
                </c:pt>
                <c:pt idx="5">
                  <c:v>Varanasi</c:v>
                </c:pt>
              </c:strCache>
            </c:strRef>
          </c:cat>
          <c:val>
            <c:numRef>
              <c:f>pivot!$E$4:$E$10</c:f>
              <c:numCache>
                <c:formatCode>General</c:formatCode>
                <c:ptCount val="6"/>
                <c:pt idx="0">
                  <c:v>44</c:v>
                </c:pt>
                <c:pt idx="1">
                  <c:v>53</c:v>
                </c:pt>
                <c:pt idx="2">
                  <c:v>45</c:v>
                </c:pt>
                <c:pt idx="3">
                  <c:v>49</c:v>
                </c:pt>
                <c:pt idx="4">
                  <c:v>62</c:v>
                </c:pt>
                <c:pt idx="5">
                  <c:v>47</c:v>
                </c:pt>
              </c:numCache>
            </c:numRef>
          </c:val>
          <c:extLst>
            <c:ext xmlns:c16="http://schemas.microsoft.com/office/drawing/2014/chart" uri="{C3380CC4-5D6E-409C-BE32-E72D297353CC}">
              <c16:uniqueId val="{00000000-7A41-481A-A669-A3E8C4000B4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[Hospital_Management_Data.xlsx]pivot!PivotTable27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Admit Patients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pivot!$J$4:$J$10</c:f>
              <c:strCache>
                <c:ptCount val="6"/>
                <c:pt idx="0">
                  <c:v>Jan</c:v>
                </c:pt>
                <c:pt idx="1">
                  <c:v>Feb</c:v>
                </c:pt>
                <c:pt idx="2">
                  <c:v>Mar</c:v>
                </c:pt>
                <c:pt idx="3">
                  <c:v>Apr</c:v>
                </c:pt>
                <c:pt idx="4">
                  <c:v>May</c:v>
                </c:pt>
                <c:pt idx="5">
                  <c:v>Jun</c:v>
                </c:pt>
              </c:strCache>
            </c:strRef>
          </c:cat>
          <c:val>
            <c:numRef>
              <c:f>pivot!$K$4:$K$10</c:f>
              <c:numCache>
                <c:formatCode>General</c:formatCode>
                <c:ptCount val="6"/>
                <c:pt idx="0">
                  <c:v>44</c:v>
                </c:pt>
                <c:pt idx="1">
                  <c:v>40</c:v>
                </c:pt>
                <c:pt idx="2">
                  <c:v>57</c:v>
                </c:pt>
                <c:pt idx="3">
                  <c:v>57</c:v>
                </c:pt>
                <c:pt idx="4">
                  <c:v>56</c:v>
                </c:pt>
                <c:pt idx="5">
                  <c:v>46</c:v>
                </c:pt>
              </c:numCache>
            </c:numRef>
          </c:val>
          <c:smooth val="0"/>
          <c:extLst>
            <c:ext xmlns:c16="http://schemas.microsoft.com/office/drawing/2014/chart" uri="{C3380CC4-5D6E-409C-BE32-E72D297353CC}">
              <c16:uniqueId val="{00000000-D19B-4941-9DC9-E24852CFBE53}"/>
            </c:ext>
          </c:extLst>
        </c:ser>
        <c:dLbls>
          <c:dLblPos val="ctr"/>
          <c:showLegendKey val="0"/>
          <c:showVal val="1"/>
          <c:showCatName val="0"/>
          <c:showSerName val="0"/>
          <c:showPercent val="0"/>
          <c:showBubbleSize val="0"/>
        </c:dLbls>
        <c:marker val="1"/>
        <c:smooth val="0"/>
        <c:axId val="1425697311"/>
        <c:axId val="1205622383"/>
      </c:lineChart>
      <c:catAx>
        <c:axId val="14256973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5622383"/>
        <c:crosses val="autoZero"/>
        <c:auto val="1"/>
        <c:lblAlgn val="ctr"/>
        <c:lblOffset val="100"/>
        <c:noMultiLvlLbl val="0"/>
      </c:catAx>
      <c:valAx>
        <c:axId val="12056223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2569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[Hospital_Management_Data.xlsx]pivot!PivotTable26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Treatment Cost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pivot!$G$4:$G$10</c:f>
              <c:strCache>
                <c:ptCount val="6"/>
                <c:pt idx="0">
                  <c:v>Cardiology</c:v>
                </c:pt>
                <c:pt idx="1">
                  <c:v>ENT</c:v>
                </c:pt>
                <c:pt idx="2">
                  <c:v>General</c:v>
                </c:pt>
                <c:pt idx="3">
                  <c:v>Neurology</c:v>
                </c:pt>
                <c:pt idx="4">
                  <c:v>Orthopedics</c:v>
                </c:pt>
                <c:pt idx="5">
                  <c:v>Pediatrics</c:v>
                </c:pt>
              </c:strCache>
            </c:strRef>
          </c:cat>
          <c:val>
            <c:numRef>
              <c:f>pivot!$H$4:$H$10</c:f>
              <c:numCache>
                <c:formatCode>"₹"\ #,##0</c:formatCode>
                <c:ptCount val="6"/>
                <c:pt idx="0">
                  <c:v>3610642</c:v>
                </c:pt>
                <c:pt idx="1">
                  <c:v>3467393</c:v>
                </c:pt>
                <c:pt idx="2">
                  <c:v>3618341</c:v>
                </c:pt>
                <c:pt idx="3">
                  <c:v>3355834</c:v>
                </c:pt>
                <c:pt idx="4">
                  <c:v>2647089</c:v>
                </c:pt>
                <c:pt idx="5">
                  <c:v>2540733</c:v>
                </c:pt>
              </c:numCache>
            </c:numRef>
          </c:val>
          <c:extLst>
            <c:ext xmlns:c16="http://schemas.microsoft.com/office/drawing/2014/chart" uri="{C3380CC4-5D6E-409C-BE32-E72D297353CC}">
              <c16:uniqueId val="{00000000-A4E3-47C4-A142-D05467BFE4F4}"/>
            </c:ext>
          </c:extLst>
        </c:ser>
        <c:dLbls>
          <c:dLblPos val="inEnd"/>
          <c:showLegendKey val="0"/>
          <c:showVal val="1"/>
          <c:showCatName val="0"/>
          <c:showSerName val="0"/>
          <c:showPercent val="0"/>
          <c:showBubbleSize val="0"/>
        </c:dLbls>
        <c:gapWidth val="65"/>
        <c:axId val="1516853359"/>
        <c:axId val="1414647343"/>
      </c:barChart>
      <c:catAx>
        <c:axId val="15168533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4647343"/>
        <c:crosses val="autoZero"/>
        <c:auto val="1"/>
        <c:lblAlgn val="ctr"/>
        <c:lblOffset val="100"/>
        <c:noMultiLvlLbl val="0"/>
      </c:catAx>
      <c:valAx>
        <c:axId val="14146473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685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[Hospital_Management_Data.xlsx]pivot!PivotTable24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pivot!$A$4:$A$10</c:f>
              <c:strCache>
                <c:ptCount val="6"/>
                <c:pt idx="0">
                  <c:v>Cardiology</c:v>
                </c:pt>
                <c:pt idx="1">
                  <c:v>ENT</c:v>
                </c:pt>
                <c:pt idx="2">
                  <c:v>General</c:v>
                </c:pt>
                <c:pt idx="3">
                  <c:v>Neurology</c:v>
                </c:pt>
                <c:pt idx="4">
                  <c:v>Orthopedics</c:v>
                </c:pt>
                <c:pt idx="5">
                  <c:v>Pediatrics</c:v>
                </c:pt>
              </c:strCache>
            </c:strRef>
          </c:cat>
          <c:val>
            <c:numRef>
              <c:f>pivot!$B$4:$B$10</c:f>
              <c:numCache>
                <c:formatCode>General</c:formatCode>
                <c:ptCount val="6"/>
                <c:pt idx="0">
                  <c:v>59</c:v>
                </c:pt>
                <c:pt idx="1">
                  <c:v>53</c:v>
                </c:pt>
                <c:pt idx="2">
                  <c:v>54</c:v>
                </c:pt>
                <c:pt idx="3">
                  <c:v>52</c:v>
                </c:pt>
                <c:pt idx="4">
                  <c:v>42</c:v>
                </c:pt>
                <c:pt idx="5">
                  <c:v>40</c:v>
                </c:pt>
              </c:numCache>
            </c:numRef>
          </c:val>
          <c:extLst>
            <c:ext xmlns:c16="http://schemas.microsoft.com/office/drawing/2014/chart" uri="{C3380CC4-5D6E-409C-BE32-E72D297353CC}">
              <c16:uniqueId val="{00000000-F098-4267-B9B5-EC6987BE99CB}"/>
            </c:ext>
          </c:extLst>
        </c:ser>
        <c:dLbls>
          <c:dLblPos val="inEnd"/>
          <c:showLegendKey val="0"/>
          <c:showVal val="1"/>
          <c:showCatName val="0"/>
          <c:showSerName val="0"/>
          <c:showPercent val="0"/>
          <c:showBubbleSize val="0"/>
        </c:dLbls>
        <c:gapWidth val="65"/>
        <c:axId val="1425682463"/>
        <c:axId val="1205749103"/>
      </c:barChart>
      <c:catAx>
        <c:axId val="1425682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5749103"/>
        <c:crosses val="autoZero"/>
        <c:auto val="1"/>
        <c:lblAlgn val="ctr"/>
        <c:lblOffset val="100"/>
        <c:noMultiLvlLbl val="0"/>
      </c:catAx>
      <c:valAx>
        <c:axId val="1205749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2568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[Hospital_Management_Data.xlsx]pivot!PivotTable25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 by Areas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pivot!$D$4:$D$10</c:f>
              <c:strCache>
                <c:ptCount val="6"/>
                <c:pt idx="0">
                  <c:v>Agra</c:v>
                </c:pt>
                <c:pt idx="1">
                  <c:v>Delhi</c:v>
                </c:pt>
                <c:pt idx="2">
                  <c:v>Kanpur</c:v>
                </c:pt>
                <c:pt idx="3">
                  <c:v>Lucknow</c:v>
                </c:pt>
                <c:pt idx="4">
                  <c:v>Noida</c:v>
                </c:pt>
                <c:pt idx="5">
                  <c:v>Varanasi</c:v>
                </c:pt>
              </c:strCache>
            </c:strRef>
          </c:cat>
          <c:val>
            <c:numRef>
              <c:f>pivot!$E$4:$E$10</c:f>
              <c:numCache>
                <c:formatCode>General</c:formatCode>
                <c:ptCount val="6"/>
                <c:pt idx="0">
                  <c:v>44</c:v>
                </c:pt>
                <c:pt idx="1">
                  <c:v>53</c:v>
                </c:pt>
                <c:pt idx="2">
                  <c:v>45</c:v>
                </c:pt>
                <c:pt idx="3">
                  <c:v>49</c:v>
                </c:pt>
                <c:pt idx="4">
                  <c:v>62</c:v>
                </c:pt>
                <c:pt idx="5">
                  <c:v>47</c:v>
                </c:pt>
              </c:numCache>
            </c:numRef>
          </c:val>
          <c:smooth val="0"/>
          <c:extLst>
            <c:ext xmlns:c16="http://schemas.microsoft.com/office/drawing/2014/chart" uri="{C3380CC4-5D6E-409C-BE32-E72D297353CC}">
              <c16:uniqueId val="{0000000E-E4F8-469E-A77B-4455935EAB09}"/>
            </c:ext>
          </c:extLst>
        </c:ser>
        <c:dLbls>
          <c:dLblPos val="ctr"/>
          <c:showLegendKey val="0"/>
          <c:showVal val="1"/>
          <c:showCatName val="0"/>
          <c:showSerName val="0"/>
          <c:showPercent val="0"/>
          <c:showBubbleSize val="0"/>
        </c:dLbls>
        <c:marker val="1"/>
        <c:smooth val="0"/>
        <c:axId val="1425697311"/>
        <c:axId val="1205622383"/>
      </c:lineChart>
      <c:catAx>
        <c:axId val="14256973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5622383"/>
        <c:crosses val="autoZero"/>
        <c:auto val="1"/>
        <c:lblAlgn val="ctr"/>
        <c:lblOffset val="100"/>
        <c:noMultiLvlLbl val="0"/>
      </c:catAx>
      <c:valAx>
        <c:axId val="12056223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25697311"/>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[Hospital_Management_Data.xlsx]pivot!PivotTable26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Treatment Cost by Category</a:t>
            </a:r>
          </a:p>
        </c:rich>
      </c:tx>
      <c:layout>
        <c:manualLayout>
          <c:xMode val="edge"/>
          <c:yMode val="edge"/>
          <c:x val="5.4288057742782149E-2"/>
          <c:y val="1.38888888888888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pivot!$G$4:$G$10</c:f>
              <c:strCache>
                <c:ptCount val="6"/>
                <c:pt idx="0">
                  <c:v>Cardiology</c:v>
                </c:pt>
                <c:pt idx="1">
                  <c:v>ENT</c:v>
                </c:pt>
                <c:pt idx="2">
                  <c:v>General</c:v>
                </c:pt>
                <c:pt idx="3">
                  <c:v>Neurology</c:v>
                </c:pt>
                <c:pt idx="4">
                  <c:v>Orthopedics</c:v>
                </c:pt>
                <c:pt idx="5">
                  <c:v>Pediatrics</c:v>
                </c:pt>
              </c:strCache>
            </c:strRef>
          </c:cat>
          <c:val>
            <c:numRef>
              <c:f>pivot!$H$4:$H$10</c:f>
              <c:numCache>
                <c:formatCode>"₹"\ #,##0</c:formatCode>
                <c:ptCount val="6"/>
                <c:pt idx="0">
                  <c:v>3610642</c:v>
                </c:pt>
                <c:pt idx="1">
                  <c:v>3467393</c:v>
                </c:pt>
                <c:pt idx="2">
                  <c:v>3618341</c:v>
                </c:pt>
                <c:pt idx="3">
                  <c:v>3355834</c:v>
                </c:pt>
                <c:pt idx="4">
                  <c:v>2647089</c:v>
                </c:pt>
                <c:pt idx="5">
                  <c:v>2540733</c:v>
                </c:pt>
              </c:numCache>
            </c:numRef>
          </c:val>
          <c:extLst>
            <c:ext xmlns:c16="http://schemas.microsoft.com/office/drawing/2014/chart" uri="{C3380CC4-5D6E-409C-BE32-E72D297353CC}">
              <c16:uniqueId val="{00000000-A06D-41D0-9BF9-E0236303F141}"/>
            </c:ext>
          </c:extLst>
        </c:ser>
        <c:dLbls>
          <c:dLblPos val="inEnd"/>
          <c:showLegendKey val="0"/>
          <c:showVal val="1"/>
          <c:showCatName val="0"/>
          <c:showSerName val="0"/>
          <c:showPercent val="0"/>
          <c:showBubbleSize val="0"/>
        </c:dLbls>
        <c:gapWidth val="65"/>
        <c:axId val="1516853359"/>
        <c:axId val="1414647343"/>
      </c:barChart>
      <c:catAx>
        <c:axId val="15168533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4647343"/>
        <c:crosses val="autoZero"/>
        <c:auto val="1"/>
        <c:lblAlgn val="ctr"/>
        <c:lblOffset val="100"/>
        <c:noMultiLvlLbl val="0"/>
      </c:catAx>
      <c:valAx>
        <c:axId val="14146473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685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[Hospital_Management_Data.xlsx]pivot!PivotTable27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Admit Patients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layout>
            <c:manualLayout>
              <c:x val="-8.1157407407407456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dLbl>
              <c:idx val="2"/>
              <c:layout>
                <c:manualLayout>
                  <c:x val="-8.1157407407407456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CC-4632-9163-4B7B3DE596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pivot!$J$4:$J$10</c:f>
              <c:strCache>
                <c:ptCount val="6"/>
                <c:pt idx="0">
                  <c:v>Jan</c:v>
                </c:pt>
                <c:pt idx="1">
                  <c:v>Feb</c:v>
                </c:pt>
                <c:pt idx="2">
                  <c:v>Mar</c:v>
                </c:pt>
                <c:pt idx="3">
                  <c:v>Apr</c:v>
                </c:pt>
                <c:pt idx="4">
                  <c:v>May</c:v>
                </c:pt>
                <c:pt idx="5">
                  <c:v>Jun</c:v>
                </c:pt>
              </c:strCache>
            </c:strRef>
          </c:cat>
          <c:val>
            <c:numRef>
              <c:f>pivot!$K$4:$K$10</c:f>
              <c:numCache>
                <c:formatCode>General</c:formatCode>
                <c:ptCount val="6"/>
                <c:pt idx="0">
                  <c:v>44</c:v>
                </c:pt>
                <c:pt idx="1">
                  <c:v>40</c:v>
                </c:pt>
                <c:pt idx="2">
                  <c:v>57</c:v>
                </c:pt>
                <c:pt idx="3">
                  <c:v>57</c:v>
                </c:pt>
                <c:pt idx="4">
                  <c:v>56</c:v>
                </c:pt>
                <c:pt idx="5">
                  <c:v>46</c:v>
                </c:pt>
              </c:numCache>
            </c:numRef>
          </c:val>
          <c:smooth val="0"/>
          <c:extLst>
            <c:ext xmlns:c16="http://schemas.microsoft.com/office/drawing/2014/chart" uri="{C3380CC4-5D6E-409C-BE32-E72D297353CC}">
              <c16:uniqueId val="{00000000-74CC-4632-9163-4B7B3DE5966F}"/>
            </c:ext>
          </c:extLst>
        </c:ser>
        <c:dLbls>
          <c:dLblPos val="t"/>
          <c:showLegendKey val="0"/>
          <c:showVal val="0"/>
          <c:showCatName val="0"/>
          <c:showSerName val="0"/>
          <c:showPercent val="0"/>
          <c:showBubbleSize val="0"/>
        </c:dLbls>
        <c:marker val="1"/>
        <c:smooth val="0"/>
        <c:axId val="1425697311"/>
        <c:axId val="1205622383"/>
      </c:lineChart>
      <c:catAx>
        <c:axId val="14256973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5622383"/>
        <c:crosses val="autoZero"/>
        <c:auto val="1"/>
        <c:lblAlgn val="ctr"/>
        <c:lblOffset val="100"/>
        <c:noMultiLvlLbl val="0"/>
      </c:catAx>
      <c:valAx>
        <c:axId val="12056223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2569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95250</xdr:rowOff>
    </xdr:from>
    <xdr:to>
      <xdr:col>2</xdr:col>
      <xdr:colOff>274320</xdr:colOff>
      <xdr:row>25</xdr:row>
      <xdr:rowOff>95250</xdr:rowOff>
    </xdr:to>
    <xdr:graphicFrame macro="">
      <xdr:nvGraphicFramePr>
        <xdr:cNvPr id="2" name="Chart 1">
          <a:extLst>
            <a:ext uri="{FF2B5EF4-FFF2-40B4-BE49-F238E27FC236}">
              <a16:creationId xmlns:a16="http://schemas.microsoft.com/office/drawing/2014/main" id="{514E03FF-455B-E4EE-1DF8-6FCDAE78D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335280</xdr:colOff>
      <xdr:row>10</xdr:row>
      <xdr:rowOff>140970</xdr:rowOff>
    </xdr:from>
    <xdr:to>
      <xdr:col>4</xdr:col>
      <xdr:colOff>1120140</xdr:colOff>
      <xdr:row>25</xdr:row>
      <xdr:rowOff>140970</xdr:rowOff>
    </xdr:to>
    <xdr:graphicFrame macro="">
      <xdr:nvGraphicFramePr>
        <xdr:cNvPr id="4" name="Chart 3">
          <a:extLst>
            <a:ext uri="{FF2B5EF4-FFF2-40B4-BE49-F238E27FC236}">
              <a16:creationId xmlns:a16="http://schemas.microsoft.com/office/drawing/2014/main" id="{BA220BB2-D789-E8E3-259E-141A39234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1295400</xdr:colOff>
      <xdr:row>12</xdr:row>
      <xdr:rowOff>140970</xdr:rowOff>
    </xdr:from>
    <xdr:to>
      <xdr:col>11</xdr:col>
      <xdr:colOff>990600</xdr:colOff>
      <xdr:row>27</xdr:row>
      <xdr:rowOff>140970</xdr:rowOff>
    </xdr:to>
    <xdr:graphicFrame macro="">
      <xdr:nvGraphicFramePr>
        <xdr:cNvPr id="7" name="Chart 6">
          <a:extLst>
            <a:ext uri="{FF2B5EF4-FFF2-40B4-BE49-F238E27FC236}">
              <a16:creationId xmlns:a16="http://schemas.microsoft.com/office/drawing/2014/main" id="{3F8E951D-AF03-BB73-9FD2-6E9F2F4E4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388620</xdr:colOff>
      <xdr:row>12</xdr:row>
      <xdr:rowOff>171450</xdr:rowOff>
    </xdr:from>
    <xdr:to>
      <xdr:col>8</xdr:col>
      <xdr:colOff>1165860</xdr:colOff>
      <xdr:row>27</xdr:row>
      <xdr:rowOff>171450</xdr:rowOff>
    </xdr:to>
    <xdr:graphicFrame macro="">
      <xdr:nvGraphicFramePr>
        <xdr:cNvPr id="8" name="Chart 7">
          <a:extLst>
            <a:ext uri="{FF2B5EF4-FFF2-40B4-BE49-F238E27FC236}">
              <a16:creationId xmlns:a16="http://schemas.microsoft.com/office/drawing/2014/main" id="{83538866-DEC3-3913-CB2F-B848B9C83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99060</xdr:rowOff>
    </xdr:from>
    <xdr:to>
      <xdr:col>8</xdr:col>
      <xdr:colOff>579120</xdr:colOff>
      <xdr:row>3</xdr:row>
      <xdr:rowOff>160020</xdr:rowOff>
    </xdr:to>
    <xdr:sp macro="" textlink="">
      <xdr:nvSpPr>
        <xdr:cNvPr id="2" name="Rectangle: Rounded Corners 1">
          <a:extLst>
            <a:ext uri="{FF2B5EF4-FFF2-40B4-BE49-F238E27FC236}">
              <a16:creationId xmlns:a16="http://schemas.microsoft.com/office/drawing/2014/main" id="{C653FA47-2F0E-F87D-532F-9A976FE67071}"/>
            </a:ext>
          </a:extLst>
        </xdr:cNvPr>
        <xdr:cNvSpPr/>
      </xdr:nvSpPr>
      <xdr:spPr>
        <a:xfrm>
          <a:off x="22860" y="99060"/>
          <a:ext cx="5433060" cy="6096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144780</xdr:rowOff>
    </xdr:from>
    <xdr:to>
      <xdr:col>10</xdr:col>
      <xdr:colOff>60960</xdr:colOff>
      <xdr:row>3</xdr:row>
      <xdr:rowOff>137160</xdr:rowOff>
    </xdr:to>
    <xdr:sp macro="" textlink="">
      <xdr:nvSpPr>
        <xdr:cNvPr id="3" name="TextBox 2">
          <a:extLst>
            <a:ext uri="{FF2B5EF4-FFF2-40B4-BE49-F238E27FC236}">
              <a16:creationId xmlns:a16="http://schemas.microsoft.com/office/drawing/2014/main" id="{2B1BDA75-8000-307C-33DA-E9B08665C6FD}"/>
            </a:ext>
          </a:extLst>
        </xdr:cNvPr>
        <xdr:cNvSpPr txBox="1"/>
      </xdr:nvSpPr>
      <xdr:spPr>
        <a:xfrm>
          <a:off x="68580" y="144780"/>
          <a:ext cx="608838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Hospital</a:t>
          </a:r>
          <a:r>
            <a:rPr lang="en-IN" sz="2800" b="1" baseline="0"/>
            <a:t> Management Dashboard</a:t>
          </a:r>
          <a:endParaRPr lang="en-IN" sz="2800" b="1"/>
        </a:p>
      </xdr:txBody>
    </xdr:sp>
    <xdr:clientData/>
  </xdr:twoCellAnchor>
  <xdr:twoCellAnchor>
    <xdr:from>
      <xdr:col>0</xdr:col>
      <xdr:colOff>0</xdr:colOff>
      <xdr:row>9</xdr:row>
      <xdr:rowOff>0</xdr:rowOff>
    </xdr:from>
    <xdr:to>
      <xdr:col>8</xdr:col>
      <xdr:colOff>228600</xdr:colOff>
      <xdr:row>21</xdr:row>
      <xdr:rowOff>121920</xdr:rowOff>
    </xdr:to>
    <xdr:graphicFrame macro="">
      <xdr:nvGraphicFramePr>
        <xdr:cNvPr id="4" name="Chart 3">
          <a:extLst>
            <a:ext uri="{FF2B5EF4-FFF2-40B4-BE49-F238E27FC236}">
              <a16:creationId xmlns:a16="http://schemas.microsoft.com/office/drawing/2014/main" id="{22250AB3-1CA6-4672-96F6-37D2A53A7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281940</xdr:colOff>
      <xdr:row>8</xdr:row>
      <xdr:rowOff>175260</xdr:rowOff>
    </xdr:from>
    <xdr:to>
      <xdr:col>15</xdr:col>
      <xdr:colOff>518160</xdr:colOff>
      <xdr:row>21</xdr:row>
      <xdr:rowOff>121920</xdr:rowOff>
    </xdr:to>
    <xdr:graphicFrame macro="">
      <xdr:nvGraphicFramePr>
        <xdr:cNvPr id="5" name="Chart 4">
          <a:extLst>
            <a:ext uri="{FF2B5EF4-FFF2-40B4-BE49-F238E27FC236}">
              <a16:creationId xmlns:a16="http://schemas.microsoft.com/office/drawing/2014/main" id="{EE5638B5-5F12-4201-9E76-C721CF471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21</xdr:row>
      <xdr:rowOff>152400</xdr:rowOff>
    </xdr:from>
    <xdr:to>
      <xdr:col>6</xdr:col>
      <xdr:colOff>487680</xdr:colOff>
      <xdr:row>36</xdr:row>
      <xdr:rowOff>152400</xdr:rowOff>
    </xdr:to>
    <xdr:graphicFrame macro="">
      <xdr:nvGraphicFramePr>
        <xdr:cNvPr id="6" name="Chart 5">
          <a:extLst>
            <a:ext uri="{FF2B5EF4-FFF2-40B4-BE49-F238E27FC236}">
              <a16:creationId xmlns:a16="http://schemas.microsoft.com/office/drawing/2014/main" id="{9E1B0D99-54D7-4F22-8AA1-0B37B81EC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525780</xdr:colOff>
      <xdr:row>21</xdr:row>
      <xdr:rowOff>167640</xdr:rowOff>
    </xdr:from>
    <xdr:to>
      <xdr:col>15</xdr:col>
      <xdr:colOff>525780</xdr:colOff>
      <xdr:row>36</xdr:row>
      <xdr:rowOff>167640</xdr:rowOff>
    </xdr:to>
    <xdr:graphicFrame macro="">
      <xdr:nvGraphicFramePr>
        <xdr:cNvPr id="7" name="Chart 6">
          <a:extLst>
            <a:ext uri="{FF2B5EF4-FFF2-40B4-BE49-F238E27FC236}">
              <a16:creationId xmlns:a16="http://schemas.microsoft.com/office/drawing/2014/main" id="{FB63B395-835A-432E-8368-EF82DC9EE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4</xdr:row>
      <xdr:rowOff>53341</xdr:rowOff>
    </xdr:from>
    <xdr:to>
      <xdr:col>8</xdr:col>
      <xdr:colOff>441960</xdr:colOff>
      <xdr:row>8</xdr:row>
      <xdr:rowOff>160021</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BE572935-A88B-DFB0-E0C1-0E23FDB8C2F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0960" y="784861"/>
              <a:ext cx="525780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480060</xdr:colOff>
      <xdr:row>4</xdr:row>
      <xdr:rowOff>68581</xdr:rowOff>
    </xdr:from>
    <xdr:to>
      <xdr:col>15</xdr:col>
      <xdr:colOff>548640</xdr:colOff>
      <xdr:row>8</xdr:row>
      <xdr:rowOff>160020</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D63B979C-97D6-30C5-4BFC-2B9550DB3D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356860" y="800101"/>
              <a:ext cx="433578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83820</xdr:colOff>
      <xdr:row>1</xdr:row>
      <xdr:rowOff>0</xdr:rowOff>
    </xdr:from>
    <xdr:to>
      <xdr:col>12</xdr:col>
      <xdr:colOff>213360</xdr:colOff>
      <xdr:row>3</xdr:row>
      <xdr:rowOff>129540</xdr:rowOff>
    </xdr:to>
    <xdr:sp macro="" textlink="">
      <xdr:nvSpPr>
        <xdr:cNvPr id="10" name="Rectangle: Rounded Corners 9">
          <a:extLst>
            <a:ext uri="{FF2B5EF4-FFF2-40B4-BE49-F238E27FC236}">
              <a16:creationId xmlns:a16="http://schemas.microsoft.com/office/drawing/2014/main" id="{F4DFCFEC-5520-B521-F04D-37CFAE4F3B88}"/>
            </a:ext>
          </a:extLst>
        </xdr:cNvPr>
        <xdr:cNvSpPr/>
      </xdr:nvSpPr>
      <xdr:spPr>
        <a:xfrm>
          <a:off x="5570220" y="182880"/>
          <a:ext cx="1958340" cy="4953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12</xdr:col>
      <xdr:colOff>350520</xdr:colOff>
      <xdr:row>0</xdr:row>
      <xdr:rowOff>175260</xdr:rowOff>
    </xdr:from>
    <xdr:to>
      <xdr:col>15</xdr:col>
      <xdr:colOff>556260</xdr:colOff>
      <xdr:row>3</xdr:row>
      <xdr:rowOff>121920</xdr:rowOff>
    </xdr:to>
    <xdr:sp macro="" textlink="">
      <xdr:nvSpPr>
        <xdr:cNvPr id="11" name="Rectangle: Rounded Corners 10">
          <a:extLst>
            <a:ext uri="{FF2B5EF4-FFF2-40B4-BE49-F238E27FC236}">
              <a16:creationId xmlns:a16="http://schemas.microsoft.com/office/drawing/2014/main" id="{BE3AE4BB-650A-4AF1-CBC3-4B8D10C62B78}"/>
            </a:ext>
          </a:extLst>
        </xdr:cNvPr>
        <xdr:cNvSpPr/>
      </xdr:nvSpPr>
      <xdr:spPr>
        <a:xfrm>
          <a:off x="7665720" y="175260"/>
          <a:ext cx="2034540" cy="4953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502920</xdr:colOff>
      <xdr:row>0</xdr:row>
      <xdr:rowOff>152400</xdr:rowOff>
    </xdr:from>
    <xdr:to>
      <xdr:col>12</xdr:col>
      <xdr:colOff>83820</xdr:colOff>
      <xdr:row>2</xdr:row>
      <xdr:rowOff>91440</xdr:rowOff>
    </xdr:to>
    <xdr:sp macro="" textlink="">
      <xdr:nvSpPr>
        <xdr:cNvPr id="12" name="TextBox 11">
          <a:extLst>
            <a:ext uri="{FF2B5EF4-FFF2-40B4-BE49-F238E27FC236}">
              <a16:creationId xmlns:a16="http://schemas.microsoft.com/office/drawing/2014/main" id="{486F8CFD-366E-30DB-C916-BF54A020AB56}"/>
            </a:ext>
          </a:extLst>
        </xdr:cNvPr>
        <xdr:cNvSpPr txBox="1"/>
      </xdr:nvSpPr>
      <xdr:spPr>
        <a:xfrm>
          <a:off x="5989320" y="152400"/>
          <a:ext cx="1409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Patients</a:t>
          </a:r>
        </a:p>
      </xdr:txBody>
    </xdr:sp>
    <xdr:clientData/>
  </xdr:twoCellAnchor>
  <xdr:twoCellAnchor>
    <xdr:from>
      <xdr:col>12</xdr:col>
      <xdr:colOff>548640</xdr:colOff>
      <xdr:row>0</xdr:row>
      <xdr:rowOff>129540</xdr:rowOff>
    </xdr:from>
    <xdr:to>
      <xdr:col>15</xdr:col>
      <xdr:colOff>266700</xdr:colOff>
      <xdr:row>2</xdr:row>
      <xdr:rowOff>68580</xdr:rowOff>
    </xdr:to>
    <xdr:sp macro="" textlink="">
      <xdr:nvSpPr>
        <xdr:cNvPr id="13" name="TextBox 12">
          <a:extLst>
            <a:ext uri="{FF2B5EF4-FFF2-40B4-BE49-F238E27FC236}">
              <a16:creationId xmlns:a16="http://schemas.microsoft.com/office/drawing/2014/main" id="{AC9234D1-DACE-A602-827B-D76255D17EA7}"/>
            </a:ext>
          </a:extLst>
        </xdr:cNvPr>
        <xdr:cNvSpPr txBox="1"/>
      </xdr:nvSpPr>
      <xdr:spPr>
        <a:xfrm>
          <a:off x="7863840" y="129540"/>
          <a:ext cx="15468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Treatment</a:t>
          </a:r>
          <a:r>
            <a:rPr lang="en-IN" sz="1200" b="1" baseline="0"/>
            <a:t> Cost</a:t>
          </a:r>
          <a:endParaRPr lang="en-IN" sz="1200" b="1"/>
        </a:p>
      </xdr:txBody>
    </xdr:sp>
    <xdr:clientData/>
  </xdr:twoCellAnchor>
  <xdr:twoCellAnchor>
    <xdr:from>
      <xdr:col>10</xdr:col>
      <xdr:colOff>220980</xdr:colOff>
      <xdr:row>1</xdr:row>
      <xdr:rowOff>175260</xdr:rowOff>
    </xdr:from>
    <xdr:to>
      <xdr:col>11</xdr:col>
      <xdr:colOff>251460</xdr:colOff>
      <xdr:row>3</xdr:row>
      <xdr:rowOff>114300</xdr:rowOff>
    </xdr:to>
    <xdr:sp macro="" textlink="pivot!$M$4">
      <xdr:nvSpPr>
        <xdr:cNvPr id="14" name="TextBox 13">
          <a:extLst>
            <a:ext uri="{FF2B5EF4-FFF2-40B4-BE49-F238E27FC236}">
              <a16:creationId xmlns:a16="http://schemas.microsoft.com/office/drawing/2014/main" id="{2C481848-F3A5-C6CC-A887-7C9885F9A77D}"/>
            </a:ext>
          </a:extLst>
        </xdr:cNvPr>
        <xdr:cNvSpPr txBox="1"/>
      </xdr:nvSpPr>
      <xdr:spPr>
        <a:xfrm>
          <a:off x="6316980" y="35814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92C254-FF80-4944-BEBC-F2D9A1E66010}" type="TxLink">
            <a:rPr lang="en-US" sz="1200" b="1" i="0" u="none" strike="noStrike">
              <a:solidFill>
                <a:srgbClr val="000000"/>
              </a:solidFill>
              <a:latin typeface="Calibri"/>
              <a:ea typeface="Calibri"/>
              <a:cs typeface="Calibri"/>
            </a:rPr>
            <a:t>300</a:t>
          </a:fld>
          <a:endParaRPr lang="en-IN" sz="1200" b="1"/>
        </a:p>
      </xdr:txBody>
    </xdr:sp>
    <xdr:clientData/>
  </xdr:twoCellAnchor>
  <xdr:twoCellAnchor>
    <xdr:from>
      <xdr:col>13</xdr:col>
      <xdr:colOff>396240</xdr:colOff>
      <xdr:row>2</xdr:row>
      <xdr:rowOff>0</xdr:rowOff>
    </xdr:from>
    <xdr:to>
      <xdr:col>15</xdr:col>
      <xdr:colOff>236220</xdr:colOff>
      <xdr:row>3</xdr:row>
      <xdr:rowOff>121920</xdr:rowOff>
    </xdr:to>
    <xdr:sp macro="" textlink="pivot!$N$4">
      <xdr:nvSpPr>
        <xdr:cNvPr id="15" name="TextBox 14">
          <a:extLst>
            <a:ext uri="{FF2B5EF4-FFF2-40B4-BE49-F238E27FC236}">
              <a16:creationId xmlns:a16="http://schemas.microsoft.com/office/drawing/2014/main" id="{A9FF366D-BF37-0D56-4269-0A36CC28D855}"/>
            </a:ext>
          </a:extLst>
        </xdr:cNvPr>
        <xdr:cNvSpPr txBox="1"/>
      </xdr:nvSpPr>
      <xdr:spPr>
        <a:xfrm>
          <a:off x="8321040" y="365760"/>
          <a:ext cx="10591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93F06B-3195-4721-A1CE-9D93ADA119BE}" type="TxLink">
            <a:rPr lang="en-US" sz="1200" b="1" i="0" u="none" strike="noStrike">
              <a:solidFill>
                <a:srgbClr val="000000"/>
              </a:solidFill>
              <a:latin typeface="Calibri"/>
              <a:ea typeface="Calibri"/>
              <a:cs typeface="Calibri"/>
            </a:rPr>
            <a:t>₹ 1,92,40,032</a:t>
          </a:fld>
          <a:endParaRPr lang="en-IN"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5.618402777778" createdVersion="8" refreshedVersion="8" minRefreshableVersion="3" recordCount="300" xr:uid="{79FAA9E1-A0B4-41F6-9D2C-26773BB134C5}">
  <cacheSource type="worksheet">
    <worksheetSource name="Table3"/>
  </cacheSource>
  <cacheFields count="13">
    <cacheField name="Patient ID" numFmtId="0">
      <sharedItems count="3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haredItems>
    </cacheField>
    <cacheField name="Patient Name" numFmtId="0">
      <sharedItems count="16">
        <s v="Anjali"/>
        <s v="Karan"/>
        <s v="Riya"/>
        <s v="Pooja"/>
        <s v="Vikas"/>
        <s v="Rohan"/>
        <s v="Amit"/>
        <s v="Priya"/>
        <s v="Sneha"/>
        <s v="Diya"/>
        <s v="Arjun"/>
        <s v="Aarav"/>
        <s v="Rahul"/>
        <s v="Anaya"/>
        <s v="Vivaan"/>
        <s v="Neha"/>
      </sharedItems>
    </cacheField>
    <cacheField name="Gender" numFmtId="0">
      <sharedItems/>
    </cacheField>
    <cacheField name="Age" numFmtId="0">
      <sharedItems containsSemiMixedTypes="0" containsString="0" containsNumber="1" containsInteger="1" minValue="5" maxValue="80"/>
    </cacheField>
    <cacheField name="Department" numFmtId="0">
      <sharedItems count="6">
        <s v="Cardiology"/>
        <s v="Pediatrics"/>
        <s v="ENT"/>
        <s v="General"/>
        <s v="Neurology"/>
        <s v="Orthopedics"/>
      </sharedItems>
    </cacheField>
    <cacheField name="Doctor" numFmtId="0">
      <sharedItems/>
    </cacheField>
    <cacheField name="Admission Date" numFmtId="164">
      <sharedItems containsSemiMixedTypes="0" containsNonDate="0" containsDate="1" containsString="0" minDate="2026-01-01T00:00:00" maxDate="2026-07-01T00:00:00"/>
    </cacheField>
    <cacheField name="Discharge Date" numFmtId="164">
      <sharedItems containsSemiMixedTypes="0" containsNonDate="0" containsDate="1" containsString="0" minDate="2026-01-03T00:00:00" maxDate="2026-07-10T00:00:00"/>
    </cacheField>
    <cacheField name="City" numFmtId="0">
      <sharedItems count="6">
        <s v="Kanpur"/>
        <s v="Agra"/>
        <s v="Delhi"/>
        <s v="Noida"/>
        <s v="Varanasi"/>
        <s v="Lucknow"/>
      </sharedItems>
    </cacheField>
    <cacheField name="Treatment Cost" numFmtId="0">
      <sharedItems containsSemiMixedTypes="0" containsString="0" containsNumber="1" containsInteger="1" minValue="5470" maxValue="119065"/>
    </cacheField>
    <cacheField name="Payment Mode" numFmtId="0">
      <sharedItems/>
    </cacheField>
    <cacheField name="Recovery Status" numFmtId="0">
      <sharedItems/>
    </cacheField>
    <cacheField name="Month" numFmtId="0">
      <sharedItems count="6">
        <s v="Apr"/>
        <s v="Mar"/>
        <s v="Jun"/>
        <s v="Feb"/>
        <s v="May"/>
        <s v="Jan"/>
      </sharedItems>
    </cacheField>
  </cacheFields>
  <extLst>
    <ext xmlns:x14="http://schemas.microsoft.com/office/spreadsheetml/2009/9/main" uri="{725AE2AE-9491-48be-B2B4-4EB974FC3084}">
      <x14:pivotCacheDefinition pivotCacheId="1016749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Male"/>
    <n v="80"/>
    <x v="0"/>
    <s v="Dr. Verma"/>
    <d v="2026-04-15T00:00:00"/>
    <d v="2026-04-24T00:00:00"/>
    <x v="0"/>
    <n v="72870"/>
    <s v="Card"/>
    <s v="Discharged"/>
    <x v="0"/>
  </r>
  <r>
    <x v="1"/>
    <x v="1"/>
    <s v="Female"/>
    <n v="44"/>
    <x v="0"/>
    <s v="Dr. Patel"/>
    <d v="2026-03-05T00:00:00"/>
    <d v="2026-03-08T00:00:00"/>
    <x v="0"/>
    <n v="91292"/>
    <s v="Cash"/>
    <s v="Under Treatment"/>
    <x v="1"/>
  </r>
  <r>
    <x v="2"/>
    <x v="1"/>
    <s v="Female"/>
    <n v="80"/>
    <x v="0"/>
    <s v="Dr. Verma"/>
    <d v="2026-06-29T00:00:00"/>
    <d v="2026-07-05T00:00:00"/>
    <x v="1"/>
    <n v="119065"/>
    <s v="Card"/>
    <s v="Recovered"/>
    <x v="2"/>
  </r>
  <r>
    <x v="3"/>
    <x v="2"/>
    <s v="Female"/>
    <n v="44"/>
    <x v="1"/>
    <s v="Dr. Verma"/>
    <d v="2026-04-15T00:00:00"/>
    <d v="2026-04-18T00:00:00"/>
    <x v="1"/>
    <n v="25590"/>
    <s v="UPI"/>
    <s v="Under Treatment"/>
    <x v="0"/>
  </r>
  <r>
    <x v="4"/>
    <x v="3"/>
    <s v="Male"/>
    <n v="27"/>
    <x v="1"/>
    <s v="Dr. Sharma"/>
    <d v="2026-04-12T00:00:00"/>
    <d v="2026-04-18T00:00:00"/>
    <x v="2"/>
    <n v="40889"/>
    <s v="Insurance"/>
    <s v="Under Treatment"/>
    <x v="0"/>
  </r>
  <r>
    <x v="5"/>
    <x v="4"/>
    <s v="Male"/>
    <n v="46"/>
    <x v="0"/>
    <s v="Dr. Patel"/>
    <d v="2026-04-04T00:00:00"/>
    <d v="2026-04-09T00:00:00"/>
    <x v="3"/>
    <n v="21850"/>
    <s v="Insurance"/>
    <s v="Under Treatment"/>
    <x v="0"/>
  </r>
  <r>
    <x v="6"/>
    <x v="5"/>
    <s v="Male"/>
    <n v="17"/>
    <x v="0"/>
    <s v="Dr. Singh"/>
    <d v="2026-02-23T00:00:00"/>
    <d v="2026-03-02T00:00:00"/>
    <x v="3"/>
    <n v="71861"/>
    <s v="UPI"/>
    <s v="Discharged"/>
    <x v="3"/>
  </r>
  <r>
    <x v="7"/>
    <x v="3"/>
    <s v="Male"/>
    <n v="39"/>
    <x v="2"/>
    <s v="Dr. Sharma"/>
    <d v="2026-05-28T00:00:00"/>
    <d v="2026-06-04T00:00:00"/>
    <x v="3"/>
    <n v="9663"/>
    <s v="UPI"/>
    <s v="Under Treatment"/>
    <x v="4"/>
  </r>
  <r>
    <x v="8"/>
    <x v="6"/>
    <s v="Female"/>
    <n v="38"/>
    <x v="3"/>
    <s v="Dr. Verma"/>
    <d v="2026-04-17T00:00:00"/>
    <d v="2026-04-26T00:00:00"/>
    <x v="1"/>
    <n v="83213"/>
    <s v="Insurance"/>
    <s v="Under Treatment"/>
    <x v="0"/>
  </r>
  <r>
    <x v="9"/>
    <x v="7"/>
    <s v="Male"/>
    <n v="9"/>
    <x v="2"/>
    <s v="Dr. Sharma"/>
    <d v="2026-05-27T00:00:00"/>
    <d v="2026-06-02T00:00:00"/>
    <x v="4"/>
    <n v="75810"/>
    <s v="Insurance"/>
    <s v="Under Treatment"/>
    <x v="4"/>
  </r>
  <r>
    <x v="10"/>
    <x v="0"/>
    <s v="Male"/>
    <n v="11"/>
    <x v="4"/>
    <s v="Dr. Khan"/>
    <d v="2026-06-21T00:00:00"/>
    <d v="2026-06-24T00:00:00"/>
    <x v="0"/>
    <n v="59094"/>
    <s v="Cash"/>
    <s v="Recovered"/>
    <x v="2"/>
  </r>
  <r>
    <x v="11"/>
    <x v="1"/>
    <s v="Female"/>
    <n v="43"/>
    <x v="2"/>
    <s v="Dr. Verma"/>
    <d v="2026-03-22T00:00:00"/>
    <d v="2026-04-01T00:00:00"/>
    <x v="2"/>
    <n v="94499"/>
    <s v="Insurance"/>
    <s v="Recovered"/>
    <x v="1"/>
  </r>
  <r>
    <x v="12"/>
    <x v="8"/>
    <s v="Female"/>
    <n v="52"/>
    <x v="3"/>
    <s v="Dr. Sharma"/>
    <d v="2026-03-20T00:00:00"/>
    <d v="2026-03-27T00:00:00"/>
    <x v="4"/>
    <n v="117334"/>
    <s v="Card"/>
    <s v="Discharged"/>
    <x v="1"/>
  </r>
  <r>
    <x v="13"/>
    <x v="2"/>
    <s v="Male"/>
    <n v="75"/>
    <x v="0"/>
    <s v="Dr. Singh"/>
    <d v="2026-06-18T00:00:00"/>
    <d v="2026-06-24T00:00:00"/>
    <x v="2"/>
    <n v="26794"/>
    <s v="UPI"/>
    <s v="Under Treatment"/>
    <x v="2"/>
  </r>
  <r>
    <x v="14"/>
    <x v="9"/>
    <s v="Female"/>
    <n v="36"/>
    <x v="5"/>
    <s v="Dr. Singh"/>
    <d v="2026-03-28T00:00:00"/>
    <d v="2026-04-03T00:00:00"/>
    <x v="0"/>
    <n v="83558"/>
    <s v="Insurance"/>
    <s v="Under Treatment"/>
    <x v="1"/>
  </r>
  <r>
    <x v="15"/>
    <x v="8"/>
    <s v="Female"/>
    <n v="32"/>
    <x v="1"/>
    <s v="Dr. Patel"/>
    <d v="2026-03-28T00:00:00"/>
    <d v="2026-04-04T00:00:00"/>
    <x v="5"/>
    <n v="21870"/>
    <s v="Card"/>
    <s v="Recovered"/>
    <x v="1"/>
  </r>
  <r>
    <x v="16"/>
    <x v="10"/>
    <s v="Female"/>
    <n v="65"/>
    <x v="4"/>
    <s v="Dr. Khan"/>
    <d v="2026-05-05T00:00:00"/>
    <d v="2026-05-10T00:00:00"/>
    <x v="5"/>
    <n v="23323"/>
    <s v="UPI"/>
    <s v="Under Treatment"/>
    <x v="4"/>
  </r>
  <r>
    <x v="17"/>
    <x v="7"/>
    <s v="Male"/>
    <n v="29"/>
    <x v="5"/>
    <s v="Dr. Verma"/>
    <d v="2026-02-26T00:00:00"/>
    <d v="2026-03-02T00:00:00"/>
    <x v="3"/>
    <n v="83381"/>
    <s v="Insurance"/>
    <s v="Under Treatment"/>
    <x v="3"/>
  </r>
  <r>
    <x v="18"/>
    <x v="5"/>
    <s v="Male"/>
    <n v="38"/>
    <x v="4"/>
    <s v="Dr. Patel"/>
    <d v="2026-05-28T00:00:00"/>
    <d v="2026-05-31T00:00:00"/>
    <x v="0"/>
    <n v="11792"/>
    <s v="Insurance"/>
    <s v="Recovered"/>
    <x v="4"/>
  </r>
  <r>
    <x v="19"/>
    <x v="2"/>
    <s v="Male"/>
    <n v="48"/>
    <x v="2"/>
    <s v="Dr. Verma"/>
    <d v="2026-02-04T00:00:00"/>
    <d v="2026-02-09T00:00:00"/>
    <x v="1"/>
    <n v="93462"/>
    <s v="UPI"/>
    <s v="Discharged"/>
    <x v="3"/>
  </r>
  <r>
    <x v="20"/>
    <x v="10"/>
    <s v="Female"/>
    <n v="10"/>
    <x v="1"/>
    <s v="Dr. Singh"/>
    <d v="2026-05-21T00:00:00"/>
    <d v="2026-05-23T00:00:00"/>
    <x v="4"/>
    <n v="116481"/>
    <s v="Insurance"/>
    <s v="Recovered"/>
    <x v="4"/>
  </r>
  <r>
    <x v="21"/>
    <x v="4"/>
    <s v="Female"/>
    <n v="56"/>
    <x v="1"/>
    <s v="Dr. Singh"/>
    <d v="2026-02-16T00:00:00"/>
    <d v="2026-02-22T00:00:00"/>
    <x v="2"/>
    <n v="86599"/>
    <s v="Insurance"/>
    <s v="Discharged"/>
    <x v="3"/>
  </r>
  <r>
    <x v="22"/>
    <x v="11"/>
    <s v="Male"/>
    <n v="73"/>
    <x v="0"/>
    <s v="Dr. Patel"/>
    <d v="2026-02-21T00:00:00"/>
    <d v="2026-02-25T00:00:00"/>
    <x v="3"/>
    <n v="111208"/>
    <s v="UPI"/>
    <s v="Under Treatment"/>
    <x v="3"/>
  </r>
  <r>
    <x v="23"/>
    <x v="6"/>
    <s v="Male"/>
    <n v="30"/>
    <x v="4"/>
    <s v="Dr. Khan"/>
    <d v="2026-02-15T00:00:00"/>
    <d v="2026-02-20T00:00:00"/>
    <x v="5"/>
    <n v="32023"/>
    <s v="UPI"/>
    <s v="Under Treatment"/>
    <x v="3"/>
  </r>
  <r>
    <x v="24"/>
    <x v="7"/>
    <s v="Female"/>
    <n v="65"/>
    <x v="0"/>
    <s v="Dr. Sharma"/>
    <d v="2026-06-23T00:00:00"/>
    <d v="2026-06-30T00:00:00"/>
    <x v="4"/>
    <n v="60704"/>
    <s v="Card"/>
    <s v="Discharged"/>
    <x v="2"/>
  </r>
  <r>
    <x v="25"/>
    <x v="3"/>
    <s v="Male"/>
    <n v="52"/>
    <x v="0"/>
    <s v="Dr. Khan"/>
    <d v="2026-03-20T00:00:00"/>
    <d v="2026-03-23T00:00:00"/>
    <x v="4"/>
    <n v="94698"/>
    <s v="Card"/>
    <s v="Under Treatment"/>
    <x v="1"/>
  </r>
  <r>
    <x v="26"/>
    <x v="11"/>
    <s v="Male"/>
    <n v="44"/>
    <x v="2"/>
    <s v="Dr. Verma"/>
    <d v="2026-06-12T00:00:00"/>
    <d v="2026-06-18T00:00:00"/>
    <x v="1"/>
    <n v="8832"/>
    <s v="Cash"/>
    <s v="Under Treatment"/>
    <x v="2"/>
  </r>
  <r>
    <x v="27"/>
    <x v="2"/>
    <s v="Male"/>
    <n v="41"/>
    <x v="4"/>
    <s v="Dr. Khan"/>
    <d v="2026-02-21T00:00:00"/>
    <d v="2026-03-03T00:00:00"/>
    <x v="3"/>
    <n v="5470"/>
    <s v="Card"/>
    <s v="Recovered"/>
    <x v="3"/>
  </r>
  <r>
    <x v="28"/>
    <x v="12"/>
    <s v="Male"/>
    <n v="42"/>
    <x v="3"/>
    <s v="Dr. Patel"/>
    <d v="2026-01-02T00:00:00"/>
    <d v="2026-01-06T00:00:00"/>
    <x v="2"/>
    <n v="12033"/>
    <s v="UPI"/>
    <s v="Recovered"/>
    <x v="5"/>
  </r>
  <r>
    <x v="29"/>
    <x v="2"/>
    <s v="Male"/>
    <n v="55"/>
    <x v="3"/>
    <s v="Dr. Verma"/>
    <d v="2026-05-18T00:00:00"/>
    <d v="2026-05-28T00:00:00"/>
    <x v="5"/>
    <n v="98266"/>
    <s v="Cash"/>
    <s v="Under Treatment"/>
    <x v="4"/>
  </r>
  <r>
    <x v="30"/>
    <x v="13"/>
    <s v="Male"/>
    <n v="40"/>
    <x v="2"/>
    <s v="Dr. Verma"/>
    <d v="2026-02-21T00:00:00"/>
    <d v="2026-02-24T00:00:00"/>
    <x v="0"/>
    <n v="37156"/>
    <s v="Insurance"/>
    <s v="Discharged"/>
    <x v="3"/>
  </r>
  <r>
    <x v="31"/>
    <x v="7"/>
    <s v="Male"/>
    <n v="39"/>
    <x v="2"/>
    <s v="Dr. Singh"/>
    <d v="2026-02-14T00:00:00"/>
    <d v="2026-02-22T00:00:00"/>
    <x v="2"/>
    <n v="118327"/>
    <s v="UPI"/>
    <s v="Under Treatment"/>
    <x v="3"/>
  </r>
  <r>
    <x v="32"/>
    <x v="3"/>
    <s v="Female"/>
    <n v="66"/>
    <x v="4"/>
    <s v="Dr. Verma"/>
    <d v="2026-04-23T00:00:00"/>
    <d v="2026-04-27T00:00:00"/>
    <x v="5"/>
    <n v="116745"/>
    <s v="Card"/>
    <s v="Recovered"/>
    <x v="0"/>
  </r>
  <r>
    <x v="33"/>
    <x v="13"/>
    <s v="Female"/>
    <n v="33"/>
    <x v="0"/>
    <s v="Dr. Verma"/>
    <d v="2026-03-06T00:00:00"/>
    <d v="2026-03-15T00:00:00"/>
    <x v="3"/>
    <n v="43186"/>
    <s v="UPI"/>
    <s v="Discharged"/>
    <x v="1"/>
  </r>
  <r>
    <x v="34"/>
    <x v="10"/>
    <s v="Female"/>
    <n v="69"/>
    <x v="1"/>
    <s v="Dr. Verma"/>
    <d v="2026-04-29T00:00:00"/>
    <d v="2026-05-01T00:00:00"/>
    <x v="2"/>
    <n v="42149"/>
    <s v="Cash"/>
    <s v="Recovered"/>
    <x v="0"/>
  </r>
  <r>
    <x v="35"/>
    <x v="12"/>
    <s v="Male"/>
    <n v="27"/>
    <x v="3"/>
    <s v="Dr. Khan"/>
    <d v="2026-06-04T00:00:00"/>
    <d v="2026-06-08T00:00:00"/>
    <x v="5"/>
    <n v="48542"/>
    <s v="Cash"/>
    <s v="Under Treatment"/>
    <x v="2"/>
  </r>
  <r>
    <x v="36"/>
    <x v="12"/>
    <s v="Female"/>
    <n v="53"/>
    <x v="5"/>
    <s v="Dr. Patel"/>
    <d v="2026-04-16T00:00:00"/>
    <d v="2026-04-25T00:00:00"/>
    <x v="3"/>
    <n v="56600"/>
    <s v="Card"/>
    <s v="Discharged"/>
    <x v="0"/>
  </r>
  <r>
    <x v="37"/>
    <x v="9"/>
    <s v="Female"/>
    <n v="71"/>
    <x v="5"/>
    <s v="Dr. Khan"/>
    <d v="2026-06-23T00:00:00"/>
    <d v="2026-07-01T00:00:00"/>
    <x v="2"/>
    <n v="29184"/>
    <s v="Insurance"/>
    <s v="Recovered"/>
    <x v="2"/>
  </r>
  <r>
    <x v="38"/>
    <x v="3"/>
    <s v="Female"/>
    <n v="11"/>
    <x v="1"/>
    <s v="Dr. Patel"/>
    <d v="2026-04-11T00:00:00"/>
    <d v="2026-04-12T00:00:00"/>
    <x v="4"/>
    <n v="116401"/>
    <s v="UPI"/>
    <s v="Under Treatment"/>
    <x v="0"/>
  </r>
  <r>
    <x v="39"/>
    <x v="4"/>
    <s v="Male"/>
    <n v="53"/>
    <x v="4"/>
    <s v="Dr. Singh"/>
    <d v="2026-01-22T00:00:00"/>
    <d v="2026-02-01T00:00:00"/>
    <x v="0"/>
    <n v="15506"/>
    <s v="Insurance"/>
    <s v="Discharged"/>
    <x v="5"/>
  </r>
  <r>
    <x v="40"/>
    <x v="4"/>
    <s v="Female"/>
    <n v="21"/>
    <x v="4"/>
    <s v="Dr. Verma"/>
    <d v="2026-06-27T00:00:00"/>
    <d v="2026-06-29T00:00:00"/>
    <x v="2"/>
    <n v="47008"/>
    <s v="Card"/>
    <s v="Under Treatment"/>
    <x v="2"/>
  </r>
  <r>
    <x v="41"/>
    <x v="1"/>
    <s v="Male"/>
    <n v="8"/>
    <x v="5"/>
    <s v="Dr. Patel"/>
    <d v="2026-01-09T00:00:00"/>
    <d v="2026-01-18T00:00:00"/>
    <x v="2"/>
    <n v="20460"/>
    <s v="UPI"/>
    <s v="Recovered"/>
    <x v="5"/>
  </r>
  <r>
    <x v="42"/>
    <x v="11"/>
    <s v="Female"/>
    <n v="31"/>
    <x v="1"/>
    <s v="Dr. Khan"/>
    <d v="2026-06-10T00:00:00"/>
    <d v="2026-06-19T00:00:00"/>
    <x v="2"/>
    <n v="30453"/>
    <s v="Cash"/>
    <s v="Under Treatment"/>
    <x v="2"/>
  </r>
  <r>
    <x v="43"/>
    <x v="5"/>
    <s v="Male"/>
    <n v="77"/>
    <x v="5"/>
    <s v="Dr. Singh"/>
    <d v="2026-01-12T00:00:00"/>
    <d v="2026-01-14T00:00:00"/>
    <x v="5"/>
    <n v="23420"/>
    <s v="Cash"/>
    <s v="Discharged"/>
    <x v="5"/>
  </r>
  <r>
    <x v="44"/>
    <x v="14"/>
    <s v="Male"/>
    <n v="76"/>
    <x v="0"/>
    <s v="Dr. Patel"/>
    <d v="2026-04-22T00:00:00"/>
    <d v="2026-04-30T00:00:00"/>
    <x v="2"/>
    <n v="102526"/>
    <s v="UPI"/>
    <s v="Discharged"/>
    <x v="0"/>
  </r>
  <r>
    <x v="45"/>
    <x v="10"/>
    <s v="Female"/>
    <n v="26"/>
    <x v="5"/>
    <s v="Dr. Khan"/>
    <d v="2026-06-26T00:00:00"/>
    <d v="2026-06-29T00:00:00"/>
    <x v="4"/>
    <n v="49393"/>
    <s v="Cash"/>
    <s v="Under Treatment"/>
    <x v="2"/>
  </r>
  <r>
    <x v="46"/>
    <x v="11"/>
    <s v="Male"/>
    <n v="5"/>
    <x v="2"/>
    <s v="Dr. Patel"/>
    <d v="2026-06-22T00:00:00"/>
    <d v="2026-06-24T00:00:00"/>
    <x v="3"/>
    <n v="117433"/>
    <s v="Cash"/>
    <s v="Recovered"/>
    <x v="2"/>
  </r>
  <r>
    <x v="47"/>
    <x v="6"/>
    <s v="Male"/>
    <n v="17"/>
    <x v="5"/>
    <s v="Dr. Khan"/>
    <d v="2026-03-02T00:00:00"/>
    <d v="2026-03-06T00:00:00"/>
    <x v="2"/>
    <n v="75967"/>
    <s v="Cash"/>
    <s v="Under Treatment"/>
    <x v="1"/>
  </r>
  <r>
    <x v="48"/>
    <x v="8"/>
    <s v="Female"/>
    <n v="58"/>
    <x v="2"/>
    <s v="Dr. Verma"/>
    <d v="2026-05-17T00:00:00"/>
    <d v="2026-05-21T00:00:00"/>
    <x v="1"/>
    <n v="57122"/>
    <s v="Card"/>
    <s v="Discharged"/>
    <x v="4"/>
  </r>
  <r>
    <x v="49"/>
    <x v="9"/>
    <s v="Female"/>
    <n v="73"/>
    <x v="0"/>
    <s v="Dr. Sharma"/>
    <d v="2026-04-15T00:00:00"/>
    <d v="2026-04-19T00:00:00"/>
    <x v="1"/>
    <n v="56670"/>
    <s v="Cash"/>
    <s v="Discharged"/>
    <x v="0"/>
  </r>
  <r>
    <x v="50"/>
    <x v="13"/>
    <s v="Female"/>
    <n v="72"/>
    <x v="2"/>
    <s v="Dr. Khan"/>
    <d v="2026-01-28T00:00:00"/>
    <d v="2026-01-29T00:00:00"/>
    <x v="2"/>
    <n v="118099"/>
    <s v="Cash"/>
    <s v="Recovered"/>
    <x v="5"/>
  </r>
  <r>
    <x v="51"/>
    <x v="1"/>
    <s v="Female"/>
    <n v="36"/>
    <x v="3"/>
    <s v="Dr. Singh"/>
    <d v="2026-03-21T00:00:00"/>
    <d v="2026-03-26T00:00:00"/>
    <x v="0"/>
    <n v="82042"/>
    <s v="Cash"/>
    <s v="Recovered"/>
    <x v="1"/>
  </r>
  <r>
    <x v="52"/>
    <x v="0"/>
    <s v="Female"/>
    <n v="62"/>
    <x v="0"/>
    <s v="Dr. Singh"/>
    <d v="2026-03-20T00:00:00"/>
    <d v="2026-03-27T00:00:00"/>
    <x v="1"/>
    <n v="59385"/>
    <s v="Cash"/>
    <s v="Discharged"/>
    <x v="1"/>
  </r>
  <r>
    <x v="53"/>
    <x v="8"/>
    <s v="Male"/>
    <n v="40"/>
    <x v="4"/>
    <s v="Dr. Khan"/>
    <d v="2026-05-22T00:00:00"/>
    <d v="2026-06-01T00:00:00"/>
    <x v="3"/>
    <n v="30450"/>
    <s v="UPI"/>
    <s v="Recovered"/>
    <x v="4"/>
  </r>
  <r>
    <x v="54"/>
    <x v="9"/>
    <s v="Male"/>
    <n v="48"/>
    <x v="0"/>
    <s v="Dr. Sharma"/>
    <d v="2026-04-30T00:00:00"/>
    <d v="2026-05-02T00:00:00"/>
    <x v="2"/>
    <n v="26063"/>
    <s v="Card"/>
    <s v="Under Treatment"/>
    <x v="0"/>
  </r>
  <r>
    <x v="55"/>
    <x v="8"/>
    <s v="Female"/>
    <n v="23"/>
    <x v="0"/>
    <s v="Dr. Khan"/>
    <d v="2026-02-13T00:00:00"/>
    <d v="2026-02-23T00:00:00"/>
    <x v="2"/>
    <n v="93597"/>
    <s v="UPI"/>
    <s v="Recovered"/>
    <x v="3"/>
  </r>
  <r>
    <x v="56"/>
    <x v="9"/>
    <s v="Male"/>
    <n v="34"/>
    <x v="2"/>
    <s v="Dr. Khan"/>
    <d v="2026-06-12T00:00:00"/>
    <d v="2026-06-19T00:00:00"/>
    <x v="4"/>
    <n v="110172"/>
    <s v="Insurance"/>
    <s v="Discharged"/>
    <x v="2"/>
  </r>
  <r>
    <x v="57"/>
    <x v="3"/>
    <s v="Female"/>
    <n v="80"/>
    <x v="1"/>
    <s v="Dr. Sharma"/>
    <d v="2026-03-16T00:00:00"/>
    <d v="2026-03-21T00:00:00"/>
    <x v="5"/>
    <n v="95185"/>
    <s v="Card"/>
    <s v="Discharged"/>
    <x v="1"/>
  </r>
  <r>
    <x v="58"/>
    <x v="7"/>
    <s v="Male"/>
    <n v="63"/>
    <x v="0"/>
    <s v="Dr. Khan"/>
    <d v="2026-01-25T00:00:00"/>
    <d v="2026-02-01T00:00:00"/>
    <x v="1"/>
    <n v="95879"/>
    <s v="Cash"/>
    <s v="Discharged"/>
    <x v="5"/>
  </r>
  <r>
    <x v="59"/>
    <x v="6"/>
    <s v="Female"/>
    <n v="42"/>
    <x v="5"/>
    <s v="Dr. Patel"/>
    <d v="2026-02-02T00:00:00"/>
    <d v="2026-02-07T00:00:00"/>
    <x v="5"/>
    <n v="63832"/>
    <s v="Cash"/>
    <s v="Recovered"/>
    <x v="3"/>
  </r>
  <r>
    <x v="60"/>
    <x v="3"/>
    <s v="Male"/>
    <n v="59"/>
    <x v="3"/>
    <s v="Dr. Verma"/>
    <d v="2026-03-31T00:00:00"/>
    <d v="2026-04-08T00:00:00"/>
    <x v="5"/>
    <n v="72239"/>
    <s v="Card"/>
    <s v="Under Treatment"/>
    <x v="1"/>
  </r>
  <r>
    <x v="61"/>
    <x v="11"/>
    <s v="Male"/>
    <n v="9"/>
    <x v="4"/>
    <s v="Dr. Sharma"/>
    <d v="2026-01-05T00:00:00"/>
    <d v="2026-01-08T00:00:00"/>
    <x v="2"/>
    <n v="8375"/>
    <s v="UPI"/>
    <s v="Recovered"/>
    <x v="5"/>
  </r>
  <r>
    <x v="62"/>
    <x v="4"/>
    <s v="Male"/>
    <n v="45"/>
    <x v="2"/>
    <s v="Dr. Khan"/>
    <d v="2026-05-10T00:00:00"/>
    <d v="2026-05-12T00:00:00"/>
    <x v="3"/>
    <n v="79121"/>
    <s v="Cash"/>
    <s v="Recovered"/>
    <x v="4"/>
  </r>
  <r>
    <x v="63"/>
    <x v="0"/>
    <s v="Female"/>
    <n v="14"/>
    <x v="5"/>
    <s v="Dr. Patel"/>
    <d v="2026-03-26T00:00:00"/>
    <d v="2026-03-30T00:00:00"/>
    <x v="1"/>
    <n v="29794"/>
    <s v="Cash"/>
    <s v="Recovered"/>
    <x v="1"/>
  </r>
  <r>
    <x v="64"/>
    <x v="4"/>
    <s v="Female"/>
    <n v="56"/>
    <x v="0"/>
    <s v="Dr. Sharma"/>
    <d v="2026-04-05T00:00:00"/>
    <d v="2026-04-15T00:00:00"/>
    <x v="2"/>
    <n v="111836"/>
    <s v="UPI"/>
    <s v="Discharged"/>
    <x v="0"/>
  </r>
  <r>
    <x v="65"/>
    <x v="5"/>
    <s v="Female"/>
    <n v="52"/>
    <x v="0"/>
    <s v="Dr. Verma"/>
    <d v="2026-02-03T00:00:00"/>
    <d v="2026-02-12T00:00:00"/>
    <x v="4"/>
    <n v="26225"/>
    <s v="Cash"/>
    <s v="Under Treatment"/>
    <x v="3"/>
  </r>
  <r>
    <x v="66"/>
    <x v="5"/>
    <s v="Male"/>
    <n v="39"/>
    <x v="3"/>
    <s v="Dr. Verma"/>
    <d v="2026-01-21T00:00:00"/>
    <d v="2026-01-25T00:00:00"/>
    <x v="4"/>
    <n v="54166"/>
    <s v="Cash"/>
    <s v="Discharged"/>
    <x v="5"/>
  </r>
  <r>
    <x v="67"/>
    <x v="12"/>
    <s v="Male"/>
    <n v="23"/>
    <x v="5"/>
    <s v="Dr. Patel"/>
    <d v="2026-05-03T00:00:00"/>
    <d v="2026-05-07T00:00:00"/>
    <x v="1"/>
    <n v="83773"/>
    <s v="Card"/>
    <s v="Recovered"/>
    <x v="4"/>
  </r>
  <r>
    <x v="68"/>
    <x v="4"/>
    <s v="Male"/>
    <n v="22"/>
    <x v="0"/>
    <s v="Dr. Khan"/>
    <d v="2026-05-21T00:00:00"/>
    <d v="2026-05-28T00:00:00"/>
    <x v="3"/>
    <n v="27267"/>
    <s v="Card"/>
    <s v="Discharged"/>
    <x v="4"/>
  </r>
  <r>
    <x v="69"/>
    <x v="6"/>
    <s v="Male"/>
    <n v="20"/>
    <x v="3"/>
    <s v="Dr. Sharma"/>
    <d v="2026-01-25T00:00:00"/>
    <d v="2026-02-04T00:00:00"/>
    <x v="0"/>
    <n v="106253"/>
    <s v="UPI"/>
    <s v="Recovered"/>
    <x v="5"/>
  </r>
  <r>
    <x v="70"/>
    <x v="13"/>
    <s v="Female"/>
    <n v="73"/>
    <x v="5"/>
    <s v="Dr. Sharma"/>
    <d v="2026-06-06T00:00:00"/>
    <d v="2026-06-07T00:00:00"/>
    <x v="2"/>
    <n v="77354"/>
    <s v="UPI"/>
    <s v="Discharged"/>
    <x v="2"/>
  </r>
  <r>
    <x v="71"/>
    <x v="15"/>
    <s v="Female"/>
    <n v="44"/>
    <x v="0"/>
    <s v="Dr. Khan"/>
    <d v="2026-02-28T00:00:00"/>
    <d v="2026-03-09T00:00:00"/>
    <x v="4"/>
    <n v="67520"/>
    <s v="Cash"/>
    <s v="Under Treatment"/>
    <x v="3"/>
  </r>
  <r>
    <x v="72"/>
    <x v="10"/>
    <s v="Female"/>
    <n v="27"/>
    <x v="4"/>
    <s v="Dr. Singh"/>
    <d v="2026-06-09T00:00:00"/>
    <d v="2026-06-13T00:00:00"/>
    <x v="4"/>
    <n v="70420"/>
    <s v="Cash"/>
    <s v="Recovered"/>
    <x v="2"/>
  </r>
  <r>
    <x v="73"/>
    <x v="6"/>
    <s v="Female"/>
    <n v="14"/>
    <x v="3"/>
    <s v="Dr. Khan"/>
    <d v="2026-03-12T00:00:00"/>
    <d v="2026-03-13T00:00:00"/>
    <x v="3"/>
    <n v="114797"/>
    <s v="Card"/>
    <s v="Under Treatment"/>
    <x v="1"/>
  </r>
  <r>
    <x v="74"/>
    <x v="1"/>
    <s v="Female"/>
    <n v="6"/>
    <x v="1"/>
    <s v="Dr. Sharma"/>
    <d v="2026-03-10T00:00:00"/>
    <d v="2026-03-14T00:00:00"/>
    <x v="4"/>
    <n v="7910"/>
    <s v="Insurance"/>
    <s v="Recovered"/>
    <x v="1"/>
  </r>
  <r>
    <x v="75"/>
    <x v="12"/>
    <s v="Male"/>
    <n v="44"/>
    <x v="0"/>
    <s v="Dr. Verma"/>
    <d v="2026-05-23T00:00:00"/>
    <d v="2026-05-27T00:00:00"/>
    <x v="4"/>
    <n v="59811"/>
    <s v="Card"/>
    <s v="Under Treatment"/>
    <x v="4"/>
  </r>
  <r>
    <x v="76"/>
    <x v="10"/>
    <s v="Male"/>
    <n v="20"/>
    <x v="1"/>
    <s v="Dr. Verma"/>
    <d v="2026-01-14T00:00:00"/>
    <d v="2026-01-22T00:00:00"/>
    <x v="5"/>
    <n v="22492"/>
    <s v="Card"/>
    <s v="Recovered"/>
    <x v="5"/>
  </r>
  <r>
    <x v="77"/>
    <x v="13"/>
    <s v="Male"/>
    <n v="46"/>
    <x v="4"/>
    <s v="Dr. Singh"/>
    <d v="2026-06-26T00:00:00"/>
    <d v="2026-07-06T00:00:00"/>
    <x v="0"/>
    <n v="15101"/>
    <s v="Card"/>
    <s v="Recovered"/>
    <x v="2"/>
  </r>
  <r>
    <x v="78"/>
    <x v="5"/>
    <s v="Female"/>
    <n v="59"/>
    <x v="2"/>
    <s v="Dr. Khan"/>
    <d v="2026-04-08T00:00:00"/>
    <d v="2026-04-15T00:00:00"/>
    <x v="5"/>
    <n v="100025"/>
    <s v="Cash"/>
    <s v="Under Treatment"/>
    <x v="0"/>
  </r>
  <r>
    <x v="79"/>
    <x v="10"/>
    <s v="Male"/>
    <n v="74"/>
    <x v="1"/>
    <s v="Dr. Khan"/>
    <d v="2026-04-20T00:00:00"/>
    <d v="2026-04-26T00:00:00"/>
    <x v="3"/>
    <n v="111208"/>
    <s v="Card"/>
    <s v="Discharged"/>
    <x v="0"/>
  </r>
  <r>
    <x v="80"/>
    <x v="5"/>
    <s v="Male"/>
    <n v="54"/>
    <x v="3"/>
    <s v="Dr. Patel"/>
    <d v="2026-03-01T00:00:00"/>
    <d v="2026-03-09T00:00:00"/>
    <x v="2"/>
    <n v="116715"/>
    <s v="UPI"/>
    <s v="Under Treatment"/>
    <x v="1"/>
  </r>
  <r>
    <x v="81"/>
    <x v="1"/>
    <s v="Male"/>
    <n v="37"/>
    <x v="5"/>
    <s v="Dr. Sharma"/>
    <d v="2026-05-19T00:00:00"/>
    <d v="2026-05-26T00:00:00"/>
    <x v="2"/>
    <n v="104016"/>
    <s v="Card"/>
    <s v="Recovered"/>
    <x v="4"/>
  </r>
  <r>
    <x v="82"/>
    <x v="9"/>
    <s v="Female"/>
    <n v="69"/>
    <x v="0"/>
    <s v="Dr. Sharma"/>
    <d v="2026-01-30T00:00:00"/>
    <d v="2026-02-05T00:00:00"/>
    <x v="4"/>
    <n v="68403"/>
    <s v="Cash"/>
    <s v="Discharged"/>
    <x v="5"/>
  </r>
  <r>
    <x v="83"/>
    <x v="1"/>
    <s v="Female"/>
    <n v="65"/>
    <x v="4"/>
    <s v="Dr. Verma"/>
    <d v="2026-05-06T00:00:00"/>
    <d v="2026-05-08T00:00:00"/>
    <x v="1"/>
    <n v="87729"/>
    <s v="Cash"/>
    <s v="Recovered"/>
    <x v="4"/>
  </r>
  <r>
    <x v="84"/>
    <x v="10"/>
    <s v="Male"/>
    <n v="28"/>
    <x v="3"/>
    <s v="Dr. Sharma"/>
    <d v="2026-05-28T00:00:00"/>
    <d v="2026-05-29T00:00:00"/>
    <x v="0"/>
    <n v="59172"/>
    <s v="UPI"/>
    <s v="Under Treatment"/>
    <x v="4"/>
  </r>
  <r>
    <x v="85"/>
    <x v="9"/>
    <s v="Female"/>
    <n v="27"/>
    <x v="4"/>
    <s v="Dr. Khan"/>
    <d v="2026-06-11T00:00:00"/>
    <d v="2026-06-20T00:00:00"/>
    <x v="0"/>
    <n v="115208"/>
    <s v="Insurance"/>
    <s v="Recovered"/>
    <x v="2"/>
  </r>
  <r>
    <x v="86"/>
    <x v="14"/>
    <s v="Male"/>
    <n v="28"/>
    <x v="2"/>
    <s v="Dr. Khan"/>
    <d v="2026-04-30T00:00:00"/>
    <d v="2026-05-04T00:00:00"/>
    <x v="4"/>
    <n v="118390"/>
    <s v="UPI"/>
    <s v="Discharged"/>
    <x v="0"/>
  </r>
  <r>
    <x v="87"/>
    <x v="7"/>
    <s v="Female"/>
    <n v="27"/>
    <x v="0"/>
    <s v="Dr. Khan"/>
    <d v="2026-02-19T00:00:00"/>
    <d v="2026-02-28T00:00:00"/>
    <x v="3"/>
    <n v="76769"/>
    <s v="UPI"/>
    <s v="Recovered"/>
    <x v="3"/>
  </r>
  <r>
    <x v="88"/>
    <x v="6"/>
    <s v="Female"/>
    <n v="18"/>
    <x v="3"/>
    <s v="Dr. Singh"/>
    <d v="2026-04-28T00:00:00"/>
    <d v="2026-05-07T00:00:00"/>
    <x v="5"/>
    <n v="42810"/>
    <s v="Cash"/>
    <s v="Discharged"/>
    <x v="0"/>
  </r>
  <r>
    <x v="89"/>
    <x v="0"/>
    <s v="Female"/>
    <n v="11"/>
    <x v="2"/>
    <s v="Dr. Khan"/>
    <d v="2026-04-15T00:00:00"/>
    <d v="2026-04-19T00:00:00"/>
    <x v="1"/>
    <n v="119013"/>
    <s v="Cash"/>
    <s v="Recovered"/>
    <x v="0"/>
  </r>
  <r>
    <x v="90"/>
    <x v="2"/>
    <s v="Female"/>
    <n v="60"/>
    <x v="0"/>
    <s v="Dr. Verma"/>
    <d v="2026-05-29T00:00:00"/>
    <d v="2026-06-03T00:00:00"/>
    <x v="2"/>
    <n v="102708"/>
    <s v="Card"/>
    <s v="Recovered"/>
    <x v="4"/>
  </r>
  <r>
    <x v="91"/>
    <x v="10"/>
    <s v="Female"/>
    <n v="60"/>
    <x v="2"/>
    <s v="Dr. Sharma"/>
    <d v="2026-06-18T00:00:00"/>
    <d v="2026-06-23T00:00:00"/>
    <x v="0"/>
    <n v="33914"/>
    <s v="Insurance"/>
    <s v="Discharged"/>
    <x v="2"/>
  </r>
  <r>
    <x v="92"/>
    <x v="6"/>
    <s v="Female"/>
    <n v="66"/>
    <x v="4"/>
    <s v="Dr. Patel"/>
    <d v="2026-02-28T00:00:00"/>
    <d v="2026-03-05T00:00:00"/>
    <x v="0"/>
    <n v="77494"/>
    <s v="Cash"/>
    <s v="Under Treatment"/>
    <x v="3"/>
  </r>
  <r>
    <x v="93"/>
    <x v="6"/>
    <s v="Female"/>
    <n v="72"/>
    <x v="2"/>
    <s v="Dr. Khan"/>
    <d v="2026-03-14T00:00:00"/>
    <d v="2026-03-23T00:00:00"/>
    <x v="2"/>
    <n v="63354"/>
    <s v="UPI"/>
    <s v="Discharged"/>
    <x v="1"/>
  </r>
  <r>
    <x v="94"/>
    <x v="9"/>
    <s v="Male"/>
    <n v="62"/>
    <x v="1"/>
    <s v="Dr. Sharma"/>
    <d v="2026-05-19T00:00:00"/>
    <d v="2026-05-26T00:00:00"/>
    <x v="3"/>
    <n v="67943"/>
    <s v="UPI"/>
    <s v="Recovered"/>
    <x v="4"/>
  </r>
  <r>
    <x v="95"/>
    <x v="3"/>
    <s v="Female"/>
    <n v="34"/>
    <x v="3"/>
    <s v="Dr. Patel"/>
    <d v="2026-06-28T00:00:00"/>
    <d v="2026-06-30T00:00:00"/>
    <x v="4"/>
    <n v="16599"/>
    <s v="Cash"/>
    <s v="Recovered"/>
    <x v="2"/>
  </r>
  <r>
    <x v="96"/>
    <x v="10"/>
    <s v="Female"/>
    <n v="66"/>
    <x v="5"/>
    <s v="Dr. Khan"/>
    <d v="2026-04-05T00:00:00"/>
    <d v="2026-04-15T00:00:00"/>
    <x v="0"/>
    <n v="48234"/>
    <s v="Insurance"/>
    <s v="Discharged"/>
    <x v="0"/>
  </r>
  <r>
    <x v="97"/>
    <x v="4"/>
    <s v="Male"/>
    <n v="72"/>
    <x v="5"/>
    <s v="Dr. Verma"/>
    <d v="2026-03-19T00:00:00"/>
    <d v="2026-03-24T00:00:00"/>
    <x v="3"/>
    <n v="55929"/>
    <s v="Cash"/>
    <s v="Under Treatment"/>
    <x v="1"/>
  </r>
  <r>
    <x v="98"/>
    <x v="3"/>
    <s v="Male"/>
    <n v="16"/>
    <x v="4"/>
    <s v="Dr. Patel"/>
    <d v="2026-04-27T00:00:00"/>
    <d v="2026-05-06T00:00:00"/>
    <x v="5"/>
    <n v="107171"/>
    <s v="Card"/>
    <s v="Discharged"/>
    <x v="0"/>
  </r>
  <r>
    <x v="99"/>
    <x v="5"/>
    <s v="Female"/>
    <n v="33"/>
    <x v="0"/>
    <s v="Dr. Sharma"/>
    <d v="2026-05-07T00:00:00"/>
    <d v="2026-05-12T00:00:00"/>
    <x v="0"/>
    <n v="118375"/>
    <s v="Cash"/>
    <s v="Under Treatment"/>
    <x v="4"/>
  </r>
  <r>
    <x v="100"/>
    <x v="15"/>
    <s v="Male"/>
    <n v="20"/>
    <x v="0"/>
    <s v="Dr. Patel"/>
    <d v="2026-01-25T00:00:00"/>
    <d v="2026-01-27T00:00:00"/>
    <x v="0"/>
    <n v="40270"/>
    <s v="Card"/>
    <s v="Recovered"/>
    <x v="5"/>
  </r>
  <r>
    <x v="101"/>
    <x v="15"/>
    <s v="Female"/>
    <n v="16"/>
    <x v="2"/>
    <s v="Dr. Patel"/>
    <d v="2026-06-16T00:00:00"/>
    <d v="2026-06-21T00:00:00"/>
    <x v="3"/>
    <n v="67248"/>
    <s v="Card"/>
    <s v="Recovered"/>
    <x v="2"/>
  </r>
  <r>
    <x v="102"/>
    <x v="11"/>
    <s v="Male"/>
    <n v="66"/>
    <x v="5"/>
    <s v="Dr. Sharma"/>
    <d v="2026-02-08T00:00:00"/>
    <d v="2026-02-16T00:00:00"/>
    <x v="3"/>
    <n v="33105"/>
    <s v="UPI"/>
    <s v="Recovered"/>
    <x v="3"/>
  </r>
  <r>
    <x v="103"/>
    <x v="4"/>
    <s v="Female"/>
    <n v="10"/>
    <x v="4"/>
    <s v="Dr. Singh"/>
    <d v="2026-04-16T00:00:00"/>
    <d v="2026-04-26T00:00:00"/>
    <x v="5"/>
    <n v="93389"/>
    <s v="UPI"/>
    <s v="Recovered"/>
    <x v="0"/>
  </r>
  <r>
    <x v="104"/>
    <x v="5"/>
    <s v="Female"/>
    <n v="79"/>
    <x v="3"/>
    <s v="Dr. Verma"/>
    <d v="2026-05-02T00:00:00"/>
    <d v="2026-05-11T00:00:00"/>
    <x v="3"/>
    <n v="46541"/>
    <s v="Card"/>
    <s v="Recovered"/>
    <x v="4"/>
  </r>
  <r>
    <x v="105"/>
    <x v="13"/>
    <s v="Female"/>
    <n v="70"/>
    <x v="3"/>
    <s v="Dr. Patel"/>
    <d v="2026-05-01T00:00:00"/>
    <d v="2026-05-09T00:00:00"/>
    <x v="5"/>
    <n v="20879"/>
    <s v="Cash"/>
    <s v="Recovered"/>
    <x v="4"/>
  </r>
  <r>
    <x v="106"/>
    <x v="3"/>
    <s v="Female"/>
    <n v="74"/>
    <x v="0"/>
    <s v="Dr. Patel"/>
    <d v="2026-03-10T00:00:00"/>
    <d v="2026-03-12T00:00:00"/>
    <x v="4"/>
    <n v="51346"/>
    <s v="Cash"/>
    <s v="Discharged"/>
    <x v="1"/>
  </r>
  <r>
    <x v="107"/>
    <x v="9"/>
    <s v="Male"/>
    <n v="50"/>
    <x v="2"/>
    <s v="Dr. Khan"/>
    <d v="2026-03-29T00:00:00"/>
    <d v="2026-03-30T00:00:00"/>
    <x v="1"/>
    <n v="17785"/>
    <s v="UPI"/>
    <s v="Under Treatment"/>
    <x v="1"/>
  </r>
  <r>
    <x v="108"/>
    <x v="15"/>
    <s v="Male"/>
    <n v="58"/>
    <x v="3"/>
    <s v="Dr. Khan"/>
    <d v="2026-01-05T00:00:00"/>
    <d v="2026-01-15T00:00:00"/>
    <x v="5"/>
    <n v="17580"/>
    <s v="Card"/>
    <s v="Under Treatment"/>
    <x v="5"/>
  </r>
  <r>
    <x v="109"/>
    <x v="12"/>
    <s v="Female"/>
    <n v="48"/>
    <x v="4"/>
    <s v="Dr. Khan"/>
    <d v="2026-05-07T00:00:00"/>
    <d v="2026-05-14T00:00:00"/>
    <x v="0"/>
    <n v="116373"/>
    <s v="UPI"/>
    <s v="Recovered"/>
    <x v="4"/>
  </r>
  <r>
    <x v="110"/>
    <x v="3"/>
    <s v="Female"/>
    <n v="62"/>
    <x v="1"/>
    <s v="Dr. Verma"/>
    <d v="2026-05-31T00:00:00"/>
    <d v="2026-06-05T00:00:00"/>
    <x v="3"/>
    <n v="95462"/>
    <s v="UPI"/>
    <s v="Under Treatment"/>
    <x v="4"/>
  </r>
  <r>
    <x v="111"/>
    <x v="7"/>
    <s v="Female"/>
    <n v="46"/>
    <x v="3"/>
    <s v="Dr. Khan"/>
    <d v="2026-04-26T00:00:00"/>
    <d v="2026-05-04T00:00:00"/>
    <x v="5"/>
    <n v="52817"/>
    <s v="Card"/>
    <s v="Recovered"/>
    <x v="0"/>
  </r>
  <r>
    <x v="112"/>
    <x v="13"/>
    <s v="Female"/>
    <n v="59"/>
    <x v="1"/>
    <s v="Dr. Khan"/>
    <d v="2026-04-01T00:00:00"/>
    <d v="2026-04-07T00:00:00"/>
    <x v="4"/>
    <n v="81382"/>
    <s v="Cash"/>
    <s v="Discharged"/>
    <x v="0"/>
  </r>
  <r>
    <x v="113"/>
    <x v="0"/>
    <s v="Male"/>
    <n v="22"/>
    <x v="0"/>
    <s v="Dr. Singh"/>
    <d v="2026-04-03T00:00:00"/>
    <d v="2026-04-10T00:00:00"/>
    <x v="4"/>
    <n v="27859"/>
    <s v="Insurance"/>
    <s v="Recovered"/>
    <x v="0"/>
  </r>
  <r>
    <x v="114"/>
    <x v="14"/>
    <s v="Female"/>
    <n v="9"/>
    <x v="4"/>
    <s v="Dr. Verma"/>
    <d v="2026-03-02T00:00:00"/>
    <d v="2026-03-06T00:00:00"/>
    <x v="3"/>
    <n v="91323"/>
    <s v="UPI"/>
    <s v="Discharged"/>
    <x v="1"/>
  </r>
  <r>
    <x v="115"/>
    <x v="13"/>
    <s v="Female"/>
    <n v="36"/>
    <x v="2"/>
    <s v="Dr. Verma"/>
    <d v="2026-06-26T00:00:00"/>
    <d v="2026-07-03T00:00:00"/>
    <x v="5"/>
    <n v="72479"/>
    <s v="Insurance"/>
    <s v="Under Treatment"/>
    <x v="2"/>
  </r>
  <r>
    <x v="116"/>
    <x v="2"/>
    <s v="Male"/>
    <n v="24"/>
    <x v="1"/>
    <s v="Dr. Verma"/>
    <d v="2026-03-12T00:00:00"/>
    <d v="2026-03-14T00:00:00"/>
    <x v="2"/>
    <n v="114014"/>
    <s v="UPI"/>
    <s v="Under Treatment"/>
    <x v="1"/>
  </r>
  <r>
    <x v="117"/>
    <x v="14"/>
    <s v="Male"/>
    <n v="30"/>
    <x v="2"/>
    <s v="Dr. Patel"/>
    <d v="2026-04-14T00:00:00"/>
    <d v="2026-04-24T00:00:00"/>
    <x v="1"/>
    <n v="94478"/>
    <s v="Cash"/>
    <s v="Under Treatment"/>
    <x v="0"/>
  </r>
  <r>
    <x v="118"/>
    <x v="0"/>
    <s v="Female"/>
    <n v="9"/>
    <x v="2"/>
    <s v="Dr. Khan"/>
    <d v="2026-04-14T00:00:00"/>
    <d v="2026-04-20T00:00:00"/>
    <x v="2"/>
    <n v="55664"/>
    <s v="Card"/>
    <s v="Discharged"/>
    <x v="0"/>
  </r>
  <r>
    <x v="119"/>
    <x v="12"/>
    <s v="Female"/>
    <n v="15"/>
    <x v="2"/>
    <s v="Dr. Sharma"/>
    <d v="2026-03-15T00:00:00"/>
    <d v="2026-03-22T00:00:00"/>
    <x v="4"/>
    <n v="67225"/>
    <s v="Insurance"/>
    <s v="Discharged"/>
    <x v="1"/>
  </r>
  <r>
    <x v="120"/>
    <x v="13"/>
    <s v="Male"/>
    <n v="34"/>
    <x v="0"/>
    <s v="Dr. Patel"/>
    <d v="2026-05-11T00:00:00"/>
    <d v="2026-05-15T00:00:00"/>
    <x v="2"/>
    <n v="81791"/>
    <s v="UPI"/>
    <s v="Recovered"/>
    <x v="4"/>
  </r>
  <r>
    <x v="121"/>
    <x v="13"/>
    <s v="Male"/>
    <n v="36"/>
    <x v="3"/>
    <s v="Dr. Singh"/>
    <d v="2026-06-30T00:00:00"/>
    <d v="2026-07-09T00:00:00"/>
    <x v="3"/>
    <n v="88738"/>
    <s v="UPI"/>
    <s v="Recovered"/>
    <x v="2"/>
  </r>
  <r>
    <x v="122"/>
    <x v="1"/>
    <s v="Female"/>
    <n v="40"/>
    <x v="4"/>
    <s v="Dr. Khan"/>
    <d v="2026-01-29T00:00:00"/>
    <d v="2026-02-03T00:00:00"/>
    <x v="4"/>
    <n v="89866"/>
    <s v="Insurance"/>
    <s v="Recovered"/>
    <x v="5"/>
  </r>
  <r>
    <x v="123"/>
    <x v="11"/>
    <s v="Female"/>
    <n v="25"/>
    <x v="2"/>
    <s v="Dr. Patel"/>
    <d v="2026-06-30T00:00:00"/>
    <d v="2026-07-06T00:00:00"/>
    <x v="2"/>
    <n v="60388"/>
    <s v="Insurance"/>
    <s v="Discharged"/>
    <x v="2"/>
  </r>
  <r>
    <x v="124"/>
    <x v="9"/>
    <s v="Male"/>
    <n v="48"/>
    <x v="4"/>
    <s v="Dr. Patel"/>
    <d v="2026-02-06T00:00:00"/>
    <d v="2026-02-07T00:00:00"/>
    <x v="4"/>
    <n v="84051"/>
    <s v="UPI"/>
    <s v="Recovered"/>
    <x v="3"/>
  </r>
  <r>
    <x v="125"/>
    <x v="0"/>
    <s v="Female"/>
    <n v="72"/>
    <x v="2"/>
    <s v="Dr. Patel"/>
    <d v="2026-04-25T00:00:00"/>
    <d v="2026-05-04T00:00:00"/>
    <x v="5"/>
    <n v="22642"/>
    <s v="Card"/>
    <s v="Discharged"/>
    <x v="0"/>
  </r>
  <r>
    <x v="126"/>
    <x v="12"/>
    <s v="Male"/>
    <n v="68"/>
    <x v="5"/>
    <s v="Dr. Patel"/>
    <d v="2026-05-22T00:00:00"/>
    <d v="2026-05-24T00:00:00"/>
    <x v="5"/>
    <n v="61419"/>
    <s v="Insurance"/>
    <s v="Discharged"/>
    <x v="4"/>
  </r>
  <r>
    <x v="127"/>
    <x v="15"/>
    <s v="Female"/>
    <n v="20"/>
    <x v="0"/>
    <s v="Dr. Patel"/>
    <d v="2026-06-23T00:00:00"/>
    <d v="2026-06-27T00:00:00"/>
    <x v="3"/>
    <n v="87895"/>
    <s v="Card"/>
    <s v="Recovered"/>
    <x v="2"/>
  </r>
  <r>
    <x v="128"/>
    <x v="2"/>
    <s v="Female"/>
    <n v="18"/>
    <x v="0"/>
    <s v="Dr. Sharma"/>
    <d v="2026-01-10T00:00:00"/>
    <d v="2026-01-16T00:00:00"/>
    <x v="5"/>
    <n v="26129"/>
    <s v="Cash"/>
    <s v="Under Treatment"/>
    <x v="5"/>
  </r>
  <r>
    <x v="129"/>
    <x v="14"/>
    <s v="Female"/>
    <n v="55"/>
    <x v="2"/>
    <s v="Dr. Sharma"/>
    <d v="2026-04-04T00:00:00"/>
    <d v="2026-04-14T00:00:00"/>
    <x v="2"/>
    <n v="105227"/>
    <s v="Cash"/>
    <s v="Under Treatment"/>
    <x v="0"/>
  </r>
  <r>
    <x v="130"/>
    <x v="6"/>
    <s v="Male"/>
    <n v="62"/>
    <x v="3"/>
    <s v="Dr. Singh"/>
    <d v="2026-04-06T00:00:00"/>
    <d v="2026-04-16T00:00:00"/>
    <x v="0"/>
    <n v="75596"/>
    <s v="Card"/>
    <s v="Recovered"/>
    <x v="0"/>
  </r>
  <r>
    <x v="131"/>
    <x v="8"/>
    <s v="Male"/>
    <n v="18"/>
    <x v="3"/>
    <s v="Dr. Singh"/>
    <d v="2026-03-09T00:00:00"/>
    <d v="2026-03-10T00:00:00"/>
    <x v="3"/>
    <n v="65147"/>
    <s v="Cash"/>
    <s v="Discharged"/>
    <x v="1"/>
  </r>
  <r>
    <x v="132"/>
    <x v="11"/>
    <s v="Male"/>
    <n v="59"/>
    <x v="3"/>
    <s v="Dr. Sharma"/>
    <d v="2026-02-16T00:00:00"/>
    <d v="2026-02-21T00:00:00"/>
    <x v="0"/>
    <n v="61231"/>
    <s v="Cash"/>
    <s v="Recovered"/>
    <x v="3"/>
  </r>
  <r>
    <x v="133"/>
    <x v="6"/>
    <s v="Male"/>
    <n v="51"/>
    <x v="1"/>
    <s v="Dr. Sharma"/>
    <d v="2026-02-17T00:00:00"/>
    <d v="2026-02-20T00:00:00"/>
    <x v="5"/>
    <n v="69357"/>
    <s v="Card"/>
    <s v="Under Treatment"/>
    <x v="3"/>
  </r>
  <r>
    <x v="134"/>
    <x v="15"/>
    <s v="Male"/>
    <n v="11"/>
    <x v="0"/>
    <s v="Dr. Khan"/>
    <d v="2026-01-10T00:00:00"/>
    <d v="2026-01-16T00:00:00"/>
    <x v="1"/>
    <n v="14116"/>
    <s v="UPI"/>
    <s v="Recovered"/>
    <x v="5"/>
  </r>
  <r>
    <x v="135"/>
    <x v="3"/>
    <s v="Male"/>
    <n v="36"/>
    <x v="5"/>
    <s v="Dr. Verma"/>
    <d v="2026-01-16T00:00:00"/>
    <d v="2026-01-20T00:00:00"/>
    <x v="1"/>
    <n v="48933"/>
    <s v="Cash"/>
    <s v="Under Treatment"/>
    <x v="5"/>
  </r>
  <r>
    <x v="136"/>
    <x v="1"/>
    <s v="Male"/>
    <n v="69"/>
    <x v="1"/>
    <s v="Dr. Khan"/>
    <d v="2026-06-25T00:00:00"/>
    <d v="2026-06-29T00:00:00"/>
    <x v="2"/>
    <n v="43399"/>
    <s v="Insurance"/>
    <s v="Discharged"/>
    <x v="2"/>
  </r>
  <r>
    <x v="137"/>
    <x v="10"/>
    <s v="Male"/>
    <n v="53"/>
    <x v="4"/>
    <s v="Dr. Sharma"/>
    <d v="2026-04-18T00:00:00"/>
    <d v="2026-04-28T00:00:00"/>
    <x v="5"/>
    <n v="115412"/>
    <s v="Insurance"/>
    <s v="Under Treatment"/>
    <x v="0"/>
  </r>
  <r>
    <x v="138"/>
    <x v="7"/>
    <s v="Female"/>
    <n v="64"/>
    <x v="2"/>
    <s v="Dr. Patel"/>
    <d v="2026-02-08T00:00:00"/>
    <d v="2026-02-09T00:00:00"/>
    <x v="3"/>
    <n v="32535"/>
    <s v="Insurance"/>
    <s v="Discharged"/>
    <x v="3"/>
  </r>
  <r>
    <x v="139"/>
    <x v="10"/>
    <s v="Female"/>
    <n v="15"/>
    <x v="5"/>
    <s v="Dr. Singh"/>
    <d v="2026-03-07T00:00:00"/>
    <d v="2026-03-17T00:00:00"/>
    <x v="3"/>
    <n v="11792"/>
    <s v="UPI"/>
    <s v="Recovered"/>
    <x v="1"/>
  </r>
  <r>
    <x v="140"/>
    <x v="13"/>
    <s v="Male"/>
    <n v="5"/>
    <x v="5"/>
    <s v="Dr. Verma"/>
    <d v="2026-05-23T00:00:00"/>
    <d v="2026-05-29T00:00:00"/>
    <x v="1"/>
    <n v="57760"/>
    <s v="UPI"/>
    <s v="Recovered"/>
    <x v="4"/>
  </r>
  <r>
    <x v="141"/>
    <x v="5"/>
    <s v="Male"/>
    <n v="26"/>
    <x v="0"/>
    <s v="Dr. Patel"/>
    <d v="2026-02-12T00:00:00"/>
    <d v="2026-02-17T00:00:00"/>
    <x v="0"/>
    <n v="52599"/>
    <s v="UPI"/>
    <s v="Recovered"/>
    <x v="3"/>
  </r>
  <r>
    <x v="142"/>
    <x v="4"/>
    <s v="Male"/>
    <n v="19"/>
    <x v="3"/>
    <s v="Dr. Singh"/>
    <d v="2026-05-09T00:00:00"/>
    <d v="2026-05-19T00:00:00"/>
    <x v="2"/>
    <n v="99349"/>
    <s v="UPI"/>
    <s v="Recovered"/>
    <x v="4"/>
  </r>
  <r>
    <x v="143"/>
    <x v="3"/>
    <s v="Female"/>
    <n v="56"/>
    <x v="4"/>
    <s v="Dr. Sharma"/>
    <d v="2026-03-13T00:00:00"/>
    <d v="2026-03-15T00:00:00"/>
    <x v="1"/>
    <n v="109057"/>
    <s v="UPI"/>
    <s v="Under Treatment"/>
    <x v="1"/>
  </r>
  <r>
    <x v="144"/>
    <x v="5"/>
    <s v="Female"/>
    <n v="55"/>
    <x v="1"/>
    <s v="Dr. Patel"/>
    <d v="2026-04-01T00:00:00"/>
    <d v="2026-04-09T00:00:00"/>
    <x v="3"/>
    <n v="37169"/>
    <s v="UPI"/>
    <s v="Under Treatment"/>
    <x v="0"/>
  </r>
  <r>
    <x v="145"/>
    <x v="14"/>
    <s v="Female"/>
    <n v="24"/>
    <x v="2"/>
    <s v="Dr. Khan"/>
    <d v="2026-02-19T00:00:00"/>
    <d v="2026-02-20T00:00:00"/>
    <x v="4"/>
    <n v="82562"/>
    <s v="Cash"/>
    <s v="Discharged"/>
    <x v="3"/>
  </r>
  <r>
    <x v="146"/>
    <x v="3"/>
    <s v="Male"/>
    <n v="50"/>
    <x v="5"/>
    <s v="Dr. Patel"/>
    <d v="2026-02-08T00:00:00"/>
    <d v="2026-02-11T00:00:00"/>
    <x v="4"/>
    <n v="23437"/>
    <s v="Card"/>
    <s v="Recovered"/>
    <x v="3"/>
  </r>
  <r>
    <x v="147"/>
    <x v="4"/>
    <s v="Male"/>
    <n v="21"/>
    <x v="4"/>
    <s v="Dr. Patel"/>
    <d v="2026-03-12T00:00:00"/>
    <d v="2026-03-21T00:00:00"/>
    <x v="4"/>
    <n v="8243"/>
    <s v="Cash"/>
    <s v="Recovered"/>
    <x v="1"/>
  </r>
  <r>
    <x v="148"/>
    <x v="12"/>
    <s v="Female"/>
    <n v="44"/>
    <x v="0"/>
    <s v="Dr. Patel"/>
    <d v="2026-01-27T00:00:00"/>
    <d v="2026-02-06T00:00:00"/>
    <x v="4"/>
    <n v="114170"/>
    <s v="Card"/>
    <s v="Recovered"/>
    <x v="5"/>
  </r>
  <r>
    <x v="149"/>
    <x v="11"/>
    <s v="Male"/>
    <n v="68"/>
    <x v="5"/>
    <s v="Dr. Sharma"/>
    <d v="2026-05-11T00:00:00"/>
    <d v="2026-05-21T00:00:00"/>
    <x v="3"/>
    <n v="102310"/>
    <s v="UPI"/>
    <s v="Recovered"/>
    <x v="4"/>
  </r>
  <r>
    <x v="150"/>
    <x v="0"/>
    <s v="Female"/>
    <n v="71"/>
    <x v="4"/>
    <s v="Dr. Verma"/>
    <d v="2026-04-10T00:00:00"/>
    <d v="2026-04-16T00:00:00"/>
    <x v="1"/>
    <n v="33873"/>
    <s v="Card"/>
    <s v="Under Treatment"/>
    <x v="0"/>
  </r>
  <r>
    <x v="151"/>
    <x v="1"/>
    <s v="Female"/>
    <n v="28"/>
    <x v="3"/>
    <s v="Dr. Sharma"/>
    <d v="2026-02-09T00:00:00"/>
    <d v="2026-02-14T00:00:00"/>
    <x v="4"/>
    <n v="65314"/>
    <s v="Cash"/>
    <s v="Under Treatment"/>
    <x v="3"/>
  </r>
  <r>
    <x v="152"/>
    <x v="8"/>
    <s v="Female"/>
    <n v="43"/>
    <x v="0"/>
    <s v="Dr. Singh"/>
    <d v="2026-03-22T00:00:00"/>
    <d v="2026-03-28T00:00:00"/>
    <x v="3"/>
    <n v="10656"/>
    <s v="UPI"/>
    <s v="Under Treatment"/>
    <x v="1"/>
  </r>
  <r>
    <x v="153"/>
    <x v="8"/>
    <s v="Male"/>
    <n v="32"/>
    <x v="4"/>
    <s v="Dr. Verma"/>
    <d v="2026-05-20T00:00:00"/>
    <d v="2026-05-29T00:00:00"/>
    <x v="0"/>
    <n v="69490"/>
    <s v="Insurance"/>
    <s v="Discharged"/>
    <x v="4"/>
  </r>
  <r>
    <x v="154"/>
    <x v="9"/>
    <s v="Male"/>
    <n v="29"/>
    <x v="3"/>
    <s v="Dr. Singh"/>
    <d v="2026-05-31T00:00:00"/>
    <d v="2026-06-08T00:00:00"/>
    <x v="4"/>
    <n v="65424"/>
    <s v="Card"/>
    <s v="Under Treatment"/>
    <x v="4"/>
  </r>
  <r>
    <x v="155"/>
    <x v="3"/>
    <s v="Female"/>
    <n v="34"/>
    <x v="0"/>
    <s v="Dr. Patel"/>
    <d v="2026-01-27T00:00:00"/>
    <d v="2026-01-29T00:00:00"/>
    <x v="2"/>
    <n v="68892"/>
    <s v="Card"/>
    <s v="Under Treatment"/>
    <x v="5"/>
  </r>
  <r>
    <x v="156"/>
    <x v="0"/>
    <s v="Female"/>
    <n v="60"/>
    <x v="4"/>
    <s v="Dr. Sharma"/>
    <d v="2026-03-31T00:00:00"/>
    <d v="2026-04-02T00:00:00"/>
    <x v="3"/>
    <n v="47686"/>
    <s v="Card"/>
    <s v="Discharged"/>
    <x v="1"/>
  </r>
  <r>
    <x v="157"/>
    <x v="1"/>
    <s v="Male"/>
    <n v="77"/>
    <x v="3"/>
    <s v="Dr. Singh"/>
    <d v="2026-04-03T00:00:00"/>
    <d v="2026-04-08T00:00:00"/>
    <x v="2"/>
    <n v="23241"/>
    <s v="Cash"/>
    <s v="Under Treatment"/>
    <x v="0"/>
  </r>
  <r>
    <x v="158"/>
    <x v="7"/>
    <s v="Female"/>
    <n v="15"/>
    <x v="3"/>
    <s v="Dr. Verma"/>
    <d v="2026-06-06T00:00:00"/>
    <d v="2026-06-08T00:00:00"/>
    <x v="3"/>
    <n v="66075"/>
    <s v="Insurance"/>
    <s v="Recovered"/>
    <x v="2"/>
  </r>
  <r>
    <x v="159"/>
    <x v="9"/>
    <s v="Male"/>
    <n v="77"/>
    <x v="3"/>
    <s v="Dr. Khan"/>
    <d v="2026-04-07T00:00:00"/>
    <d v="2026-04-11T00:00:00"/>
    <x v="3"/>
    <n v="87477"/>
    <s v="Cash"/>
    <s v="Under Treatment"/>
    <x v="0"/>
  </r>
  <r>
    <x v="160"/>
    <x v="13"/>
    <s v="Male"/>
    <n v="68"/>
    <x v="4"/>
    <s v="Dr. Verma"/>
    <d v="2026-06-05T00:00:00"/>
    <d v="2026-06-11T00:00:00"/>
    <x v="4"/>
    <n v="20428"/>
    <s v="UPI"/>
    <s v="Recovered"/>
    <x v="2"/>
  </r>
  <r>
    <x v="161"/>
    <x v="11"/>
    <s v="Female"/>
    <n v="73"/>
    <x v="5"/>
    <s v="Dr. Singh"/>
    <d v="2026-04-04T00:00:00"/>
    <d v="2026-04-09T00:00:00"/>
    <x v="3"/>
    <n v="89836"/>
    <s v="Card"/>
    <s v="Under Treatment"/>
    <x v="0"/>
  </r>
  <r>
    <x v="162"/>
    <x v="6"/>
    <s v="Female"/>
    <n v="44"/>
    <x v="2"/>
    <s v="Dr. Khan"/>
    <d v="2026-03-21T00:00:00"/>
    <d v="2026-03-28T00:00:00"/>
    <x v="2"/>
    <n v="34134"/>
    <s v="UPI"/>
    <s v="Recovered"/>
    <x v="1"/>
  </r>
  <r>
    <x v="163"/>
    <x v="4"/>
    <s v="Female"/>
    <n v="28"/>
    <x v="4"/>
    <s v="Dr. Verma"/>
    <d v="2026-06-04T00:00:00"/>
    <d v="2026-06-05T00:00:00"/>
    <x v="0"/>
    <n v="103988"/>
    <s v="Insurance"/>
    <s v="Under Treatment"/>
    <x v="2"/>
  </r>
  <r>
    <x v="164"/>
    <x v="10"/>
    <s v="Female"/>
    <n v="80"/>
    <x v="4"/>
    <s v="Dr. Khan"/>
    <d v="2026-04-26T00:00:00"/>
    <d v="2026-04-29T00:00:00"/>
    <x v="0"/>
    <n v="43905"/>
    <s v="UPI"/>
    <s v="Recovered"/>
    <x v="0"/>
  </r>
  <r>
    <x v="165"/>
    <x v="7"/>
    <s v="Male"/>
    <n v="40"/>
    <x v="0"/>
    <s v="Dr. Verma"/>
    <d v="2026-02-09T00:00:00"/>
    <d v="2026-02-15T00:00:00"/>
    <x v="3"/>
    <n v="52985"/>
    <s v="Insurance"/>
    <s v="Recovered"/>
    <x v="3"/>
  </r>
  <r>
    <x v="166"/>
    <x v="1"/>
    <s v="Male"/>
    <n v="54"/>
    <x v="1"/>
    <s v="Dr. Verma"/>
    <d v="2026-05-17T00:00:00"/>
    <d v="2026-05-26T00:00:00"/>
    <x v="3"/>
    <n v="29828"/>
    <s v="Insurance"/>
    <s v="Under Treatment"/>
    <x v="4"/>
  </r>
  <r>
    <x v="167"/>
    <x v="15"/>
    <s v="Male"/>
    <n v="77"/>
    <x v="5"/>
    <s v="Dr. Sharma"/>
    <d v="2026-05-05T00:00:00"/>
    <d v="2026-05-11T00:00:00"/>
    <x v="2"/>
    <n v="74623"/>
    <s v="Cash"/>
    <s v="Under Treatment"/>
    <x v="4"/>
  </r>
  <r>
    <x v="168"/>
    <x v="1"/>
    <s v="Female"/>
    <n v="30"/>
    <x v="4"/>
    <s v="Dr. Verma"/>
    <d v="2026-04-19T00:00:00"/>
    <d v="2026-04-20T00:00:00"/>
    <x v="4"/>
    <n v="9218"/>
    <s v="UPI"/>
    <s v="Recovered"/>
    <x v="0"/>
  </r>
  <r>
    <x v="169"/>
    <x v="11"/>
    <s v="Female"/>
    <n v="48"/>
    <x v="2"/>
    <s v="Dr. Patel"/>
    <d v="2026-05-22T00:00:00"/>
    <d v="2026-05-23T00:00:00"/>
    <x v="0"/>
    <n v="89313"/>
    <s v="Card"/>
    <s v="Discharged"/>
    <x v="4"/>
  </r>
  <r>
    <x v="170"/>
    <x v="10"/>
    <s v="Male"/>
    <n v="52"/>
    <x v="1"/>
    <s v="Dr. Verma"/>
    <d v="2026-01-13T00:00:00"/>
    <d v="2026-01-16T00:00:00"/>
    <x v="5"/>
    <n v="101221"/>
    <s v="Insurance"/>
    <s v="Recovered"/>
    <x v="5"/>
  </r>
  <r>
    <x v="171"/>
    <x v="6"/>
    <s v="Male"/>
    <n v="13"/>
    <x v="2"/>
    <s v="Dr. Sharma"/>
    <d v="2026-01-24T00:00:00"/>
    <d v="2026-01-28T00:00:00"/>
    <x v="5"/>
    <n v="42943"/>
    <s v="Card"/>
    <s v="Under Treatment"/>
    <x v="5"/>
  </r>
  <r>
    <x v="172"/>
    <x v="10"/>
    <s v="Male"/>
    <n v="35"/>
    <x v="2"/>
    <s v="Dr. Singh"/>
    <d v="2026-02-08T00:00:00"/>
    <d v="2026-02-10T00:00:00"/>
    <x v="4"/>
    <n v="77971"/>
    <s v="Card"/>
    <s v="Under Treatment"/>
    <x v="3"/>
  </r>
  <r>
    <x v="173"/>
    <x v="14"/>
    <s v="Female"/>
    <n v="30"/>
    <x v="4"/>
    <s v="Dr. Verma"/>
    <d v="2026-03-15T00:00:00"/>
    <d v="2026-03-24T00:00:00"/>
    <x v="1"/>
    <n v="21467"/>
    <s v="UPI"/>
    <s v="Under Treatment"/>
    <x v="1"/>
  </r>
  <r>
    <x v="174"/>
    <x v="7"/>
    <s v="Male"/>
    <n v="8"/>
    <x v="4"/>
    <s v="Dr. Patel"/>
    <d v="2026-05-15T00:00:00"/>
    <d v="2026-05-20T00:00:00"/>
    <x v="5"/>
    <n v="88817"/>
    <s v="Card"/>
    <s v="Discharged"/>
    <x v="4"/>
  </r>
  <r>
    <x v="175"/>
    <x v="13"/>
    <s v="Female"/>
    <n v="55"/>
    <x v="1"/>
    <s v="Dr. Verma"/>
    <d v="2026-02-23T00:00:00"/>
    <d v="2026-02-27T00:00:00"/>
    <x v="2"/>
    <n v="66127"/>
    <s v="Card"/>
    <s v="Discharged"/>
    <x v="3"/>
  </r>
  <r>
    <x v="176"/>
    <x v="2"/>
    <s v="Female"/>
    <n v="28"/>
    <x v="3"/>
    <s v="Dr. Sharma"/>
    <d v="2026-01-01T00:00:00"/>
    <d v="2026-01-03T00:00:00"/>
    <x v="1"/>
    <n v="37239"/>
    <s v="UPI"/>
    <s v="Under Treatment"/>
    <x v="5"/>
  </r>
  <r>
    <x v="177"/>
    <x v="4"/>
    <s v="Male"/>
    <n v="25"/>
    <x v="3"/>
    <s v="Dr. Verma"/>
    <d v="2026-06-08T00:00:00"/>
    <d v="2026-06-12T00:00:00"/>
    <x v="4"/>
    <n v="94400"/>
    <s v="Card"/>
    <s v="Under Treatment"/>
    <x v="2"/>
  </r>
  <r>
    <x v="178"/>
    <x v="9"/>
    <s v="Female"/>
    <n v="13"/>
    <x v="5"/>
    <s v="Dr. Singh"/>
    <d v="2026-01-27T00:00:00"/>
    <d v="2026-02-04T00:00:00"/>
    <x v="1"/>
    <n v="34577"/>
    <s v="UPI"/>
    <s v="Under Treatment"/>
    <x v="5"/>
  </r>
  <r>
    <x v="179"/>
    <x v="10"/>
    <s v="Female"/>
    <n v="38"/>
    <x v="5"/>
    <s v="Dr. Verma"/>
    <d v="2026-06-24T00:00:00"/>
    <d v="2026-07-02T00:00:00"/>
    <x v="4"/>
    <n v="16491"/>
    <s v="UPI"/>
    <s v="Recovered"/>
    <x v="2"/>
  </r>
  <r>
    <x v="180"/>
    <x v="4"/>
    <s v="Female"/>
    <n v="43"/>
    <x v="0"/>
    <s v="Dr. Verma"/>
    <d v="2026-04-11T00:00:00"/>
    <d v="2026-04-12T00:00:00"/>
    <x v="5"/>
    <n v="46268"/>
    <s v="UPI"/>
    <s v="Discharged"/>
    <x v="0"/>
  </r>
  <r>
    <x v="181"/>
    <x v="8"/>
    <s v="Female"/>
    <n v="69"/>
    <x v="3"/>
    <s v="Dr. Singh"/>
    <d v="2026-05-13T00:00:00"/>
    <d v="2026-05-17T00:00:00"/>
    <x v="3"/>
    <n v="13344"/>
    <s v="Cash"/>
    <s v="Recovered"/>
    <x v="4"/>
  </r>
  <r>
    <x v="182"/>
    <x v="10"/>
    <s v="Female"/>
    <n v="69"/>
    <x v="1"/>
    <s v="Dr. Patel"/>
    <d v="2026-02-12T00:00:00"/>
    <d v="2026-02-17T00:00:00"/>
    <x v="0"/>
    <n v="57020"/>
    <s v="Cash"/>
    <s v="Recovered"/>
    <x v="3"/>
  </r>
  <r>
    <x v="183"/>
    <x v="3"/>
    <s v="Male"/>
    <n v="30"/>
    <x v="3"/>
    <s v="Dr. Verma"/>
    <d v="2026-01-20T00:00:00"/>
    <d v="2026-01-22T00:00:00"/>
    <x v="4"/>
    <n v="47503"/>
    <s v="UPI"/>
    <s v="Discharged"/>
    <x v="5"/>
  </r>
  <r>
    <x v="184"/>
    <x v="8"/>
    <s v="Male"/>
    <n v="76"/>
    <x v="0"/>
    <s v="Dr. Patel"/>
    <d v="2026-03-01T00:00:00"/>
    <d v="2026-03-09T00:00:00"/>
    <x v="1"/>
    <n v="48937"/>
    <s v="Cash"/>
    <s v="Discharged"/>
    <x v="1"/>
  </r>
  <r>
    <x v="185"/>
    <x v="10"/>
    <s v="Female"/>
    <n v="8"/>
    <x v="2"/>
    <s v="Dr. Verma"/>
    <d v="2026-01-23T00:00:00"/>
    <d v="2026-01-30T00:00:00"/>
    <x v="4"/>
    <n v="107713"/>
    <s v="Insurance"/>
    <s v="Recovered"/>
    <x v="5"/>
  </r>
  <r>
    <x v="186"/>
    <x v="9"/>
    <s v="Female"/>
    <n v="16"/>
    <x v="4"/>
    <s v="Dr. Khan"/>
    <d v="2026-05-07T00:00:00"/>
    <d v="2026-05-08T00:00:00"/>
    <x v="1"/>
    <n v="103999"/>
    <s v="UPI"/>
    <s v="Recovered"/>
    <x v="4"/>
  </r>
  <r>
    <x v="187"/>
    <x v="6"/>
    <s v="Male"/>
    <n v="29"/>
    <x v="2"/>
    <s v="Dr. Verma"/>
    <d v="2026-04-08T00:00:00"/>
    <d v="2026-04-11T00:00:00"/>
    <x v="0"/>
    <n v="65924"/>
    <s v="UPI"/>
    <s v="Recovered"/>
    <x v="0"/>
  </r>
  <r>
    <x v="188"/>
    <x v="7"/>
    <s v="Female"/>
    <n v="55"/>
    <x v="5"/>
    <s v="Dr. Patel"/>
    <d v="2026-04-09T00:00:00"/>
    <d v="2026-04-16T00:00:00"/>
    <x v="4"/>
    <n v="57022"/>
    <s v="Card"/>
    <s v="Discharged"/>
    <x v="0"/>
  </r>
  <r>
    <x v="189"/>
    <x v="1"/>
    <s v="Male"/>
    <n v="34"/>
    <x v="3"/>
    <s v="Dr. Khan"/>
    <d v="2026-05-24T00:00:00"/>
    <d v="2026-05-31T00:00:00"/>
    <x v="2"/>
    <n v="84299"/>
    <s v="Cash"/>
    <s v="Discharged"/>
    <x v="4"/>
  </r>
  <r>
    <x v="190"/>
    <x v="4"/>
    <s v="Female"/>
    <n v="73"/>
    <x v="2"/>
    <s v="Dr. Sharma"/>
    <d v="2026-04-23T00:00:00"/>
    <d v="2026-04-29T00:00:00"/>
    <x v="2"/>
    <n v="21573"/>
    <s v="UPI"/>
    <s v="Recovered"/>
    <x v="0"/>
  </r>
  <r>
    <x v="191"/>
    <x v="6"/>
    <s v="Male"/>
    <n v="15"/>
    <x v="1"/>
    <s v="Dr. Sharma"/>
    <d v="2026-06-20T00:00:00"/>
    <d v="2026-06-24T00:00:00"/>
    <x v="5"/>
    <n v="97337"/>
    <s v="Card"/>
    <s v="Under Treatment"/>
    <x v="2"/>
  </r>
  <r>
    <x v="192"/>
    <x v="7"/>
    <s v="Male"/>
    <n v="23"/>
    <x v="3"/>
    <s v="Dr. Patel"/>
    <d v="2026-06-16T00:00:00"/>
    <d v="2026-06-22T00:00:00"/>
    <x v="2"/>
    <n v="27063"/>
    <s v="UPI"/>
    <s v="Discharged"/>
    <x v="2"/>
  </r>
  <r>
    <x v="193"/>
    <x v="12"/>
    <s v="Male"/>
    <n v="39"/>
    <x v="1"/>
    <s v="Dr. Patel"/>
    <d v="2026-06-13T00:00:00"/>
    <d v="2026-06-22T00:00:00"/>
    <x v="1"/>
    <n v="69574"/>
    <s v="Cash"/>
    <s v="Recovered"/>
    <x v="2"/>
  </r>
  <r>
    <x v="194"/>
    <x v="3"/>
    <s v="Female"/>
    <n v="25"/>
    <x v="2"/>
    <s v="Dr. Verma"/>
    <d v="2026-04-21T00:00:00"/>
    <d v="2026-04-27T00:00:00"/>
    <x v="1"/>
    <n v="73642"/>
    <s v="Card"/>
    <s v="Under Treatment"/>
    <x v="0"/>
  </r>
  <r>
    <x v="195"/>
    <x v="1"/>
    <s v="Male"/>
    <n v="46"/>
    <x v="4"/>
    <s v="Dr. Patel"/>
    <d v="2026-04-03T00:00:00"/>
    <d v="2026-04-12T00:00:00"/>
    <x v="3"/>
    <n v="39570"/>
    <s v="UPI"/>
    <s v="Under Treatment"/>
    <x v="0"/>
  </r>
  <r>
    <x v="196"/>
    <x v="12"/>
    <s v="Female"/>
    <n v="35"/>
    <x v="1"/>
    <s v="Dr. Singh"/>
    <d v="2026-02-12T00:00:00"/>
    <d v="2026-02-13T00:00:00"/>
    <x v="2"/>
    <n v="89392"/>
    <s v="UPI"/>
    <s v="Recovered"/>
    <x v="3"/>
  </r>
  <r>
    <x v="197"/>
    <x v="1"/>
    <s v="Female"/>
    <n v="44"/>
    <x v="3"/>
    <s v="Dr. Verma"/>
    <d v="2026-05-28T00:00:00"/>
    <d v="2026-06-05T00:00:00"/>
    <x v="4"/>
    <n v="97196"/>
    <s v="UPI"/>
    <s v="Recovered"/>
    <x v="4"/>
  </r>
  <r>
    <x v="198"/>
    <x v="8"/>
    <s v="Female"/>
    <n v="47"/>
    <x v="4"/>
    <s v="Dr. Patel"/>
    <d v="2026-03-18T00:00:00"/>
    <d v="2026-03-22T00:00:00"/>
    <x v="5"/>
    <n v="52842"/>
    <s v="Insurance"/>
    <s v="Under Treatment"/>
    <x v="1"/>
  </r>
  <r>
    <x v="199"/>
    <x v="7"/>
    <s v="Female"/>
    <n v="76"/>
    <x v="4"/>
    <s v="Dr. Patel"/>
    <d v="2026-05-13T00:00:00"/>
    <d v="2026-05-18T00:00:00"/>
    <x v="1"/>
    <n v="59704"/>
    <s v="UPI"/>
    <s v="Recovered"/>
    <x v="4"/>
  </r>
  <r>
    <x v="200"/>
    <x v="4"/>
    <s v="Female"/>
    <n v="28"/>
    <x v="5"/>
    <s v="Dr. Khan"/>
    <d v="2026-02-23T00:00:00"/>
    <d v="2026-02-26T00:00:00"/>
    <x v="4"/>
    <n v="80618"/>
    <s v="UPI"/>
    <s v="Discharged"/>
    <x v="3"/>
  </r>
  <r>
    <x v="201"/>
    <x v="7"/>
    <s v="Female"/>
    <n v="37"/>
    <x v="1"/>
    <s v="Dr. Verma"/>
    <d v="2026-05-20T00:00:00"/>
    <d v="2026-05-25T00:00:00"/>
    <x v="3"/>
    <n v="9287"/>
    <s v="Cash"/>
    <s v="Recovered"/>
    <x v="4"/>
  </r>
  <r>
    <x v="202"/>
    <x v="5"/>
    <s v="Male"/>
    <n v="65"/>
    <x v="3"/>
    <s v="Dr. Patel"/>
    <d v="2026-03-30T00:00:00"/>
    <d v="2026-03-31T00:00:00"/>
    <x v="4"/>
    <n v="12157"/>
    <s v="Insurance"/>
    <s v="Under Treatment"/>
    <x v="1"/>
  </r>
  <r>
    <x v="203"/>
    <x v="11"/>
    <s v="Female"/>
    <n v="15"/>
    <x v="5"/>
    <s v="Dr. Singh"/>
    <d v="2026-04-22T00:00:00"/>
    <d v="2026-05-01T00:00:00"/>
    <x v="3"/>
    <n v="108752"/>
    <s v="Insurance"/>
    <s v="Under Treatment"/>
    <x v="0"/>
  </r>
  <r>
    <x v="204"/>
    <x v="5"/>
    <s v="Female"/>
    <n v="16"/>
    <x v="4"/>
    <s v="Dr. Khan"/>
    <d v="2026-01-02T00:00:00"/>
    <d v="2026-01-06T00:00:00"/>
    <x v="2"/>
    <n v="38301"/>
    <s v="Card"/>
    <s v="Discharged"/>
    <x v="5"/>
  </r>
  <r>
    <x v="205"/>
    <x v="4"/>
    <s v="Male"/>
    <n v="75"/>
    <x v="0"/>
    <s v="Dr. Khan"/>
    <d v="2026-02-05T00:00:00"/>
    <d v="2026-02-10T00:00:00"/>
    <x v="2"/>
    <n v="37672"/>
    <s v="Insurance"/>
    <s v="Under Treatment"/>
    <x v="3"/>
  </r>
  <r>
    <x v="206"/>
    <x v="8"/>
    <s v="Male"/>
    <n v="50"/>
    <x v="3"/>
    <s v="Dr. Khan"/>
    <d v="2026-06-20T00:00:00"/>
    <d v="2026-06-25T00:00:00"/>
    <x v="1"/>
    <n v="14863"/>
    <s v="UPI"/>
    <s v="Discharged"/>
    <x v="2"/>
  </r>
  <r>
    <x v="207"/>
    <x v="6"/>
    <s v="Male"/>
    <n v="29"/>
    <x v="5"/>
    <s v="Dr. Verma"/>
    <d v="2026-02-02T00:00:00"/>
    <d v="2026-02-07T00:00:00"/>
    <x v="4"/>
    <n v="89169"/>
    <s v="Insurance"/>
    <s v="Discharged"/>
    <x v="3"/>
  </r>
  <r>
    <x v="208"/>
    <x v="11"/>
    <s v="Female"/>
    <n v="78"/>
    <x v="0"/>
    <s v="Dr. Patel"/>
    <d v="2026-06-19T00:00:00"/>
    <d v="2026-06-29T00:00:00"/>
    <x v="3"/>
    <n v="17385"/>
    <s v="Cash"/>
    <s v="Discharged"/>
    <x v="2"/>
  </r>
  <r>
    <x v="209"/>
    <x v="1"/>
    <s v="Male"/>
    <n v="10"/>
    <x v="4"/>
    <s v="Dr. Sharma"/>
    <d v="2026-03-22T00:00:00"/>
    <d v="2026-03-29T00:00:00"/>
    <x v="0"/>
    <n v="97995"/>
    <s v="Insurance"/>
    <s v="Recovered"/>
    <x v="1"/>
  </r>
  <r>
    <x v="210"/>
    <x v="2"/>
    <s v="Male"/>
    <n v="13"/>
    <x v="2"/>
    <s v="Dr. Singh"/>
    <d v="2026-01-13T00:00:00"/>
    <d v="2026-01-22T00:00:00"/>
    <x v="2"/>
    <n v="98493"/>
    <s v="Cash"/>
    <s v="Under Treatment"/>
    <x v="5"/>
  </r>
  <r>
    <x v="211"/>
    <x v="6"/>
    <s v="Female"/>
    <n v="29"/>
    <x v="0"/>
    <s v="Dr. Patel"/>
    <d v="2026-03-10T00:00:00"/>
    <d v="2026-03-14T00:00:00"/>
    <x v="3"/>
    <n v="90792"/>
    <s v="UPI"/>
    <s v="Under Treatment"/>
    <x v="1"/>
  </r>
  <r>
    <x v="212"/>
    <x v="8"/>
    <s v="Female"/>
    <n v="69"/>
    <x v="1"/>
    <s v="Dr. Khan"/>
    <d v="2026-02-27T00:00:00"/>
    <d v="2026-03-03T00:00:00"/>
    <x v="1"/>
    <n v="55827"/>
    <s v="UPI"/>
    <s v="Under Treatment"/>
    <x v="3"/>
  </r>
  <r>
    <x v="213"/>
    <x v="2"/>
    <s v="Male"/>
    <n v="12"/>
    <x v="1"/>
    <s v="Dr. Verma"/>
    <d v="2026-03-10T00:00:00"/>
    <d v="2026-03-19T00:00:00"/>
    <x v="0"/>
    <n v="59084"/>
    <s v="Card"/>
    <s v="Under Treatment"/>
    <x v="1"/>
  </r>
  <r>
    <x v="214"/>
    <x v="6"/>
    <s v="Male"/>
    <n v="45"/>
    <x v="4"/>
    <s v="Dr. Verma"/>
    <d v="2026-04-20T00:00:00"/>
    <d v="2026-04-22T00:00:00"/>
    <x v="5"/>
    <n v="59987"/>
    <s v="Insurance"/>
    <s v="Discharged"/>
    <x v="0"/>
  </r>
  <r>
    <x v="215"/>
    <x v="15"/>
    <s v="Male"/>
    <n v="57"/>
    <x v="5"/>
    <s v="Dr. Khan"/>
    <d v="2026-01-25T00:00:00"/>
    <d v="2026-01-28T00:00:00"/>
    <x v="3"/>
    <n v="51890"/>
    <s v="Cash"/>
    <s v="Discharged"/>
    <x v="5"/>
  </r>
  <r>
    <x v="216"/>
    <x v="2"/>
    <s v="Male"/>
    <n v="43"/>
    <x v="3"/>
    <s v="Dr. Patel"/>
    <d v="2026-02-04T00:00:00"/>
    <d v="2026-02-14T00:00:00"/>
    <x v="5"/>
    <n v="112277"/>
    <s v="Insurance"/>
    <s v="Under Treatment"/>
    <x v="3"/>
  </r>
  <r>
    <x v="217"/>
    <x v="13"/>
    <s v="Female"/>
    <n v="32"/>
    <x v="0"/>
    <s v="Dr. Singh"/>
    <d v="2026-03-21T00:00:00"/>
    <d v="2026-03-23T00:00:00"/>
    <x v="5"/>
    <n v="39706"/>
    <s v="UPI"/>
    <s v="Discharged"/>
    <x v="1"/>
  </r>
  <r>
    <x v="218"/>
    <x v="6"/>
    <s v="Male"/>
    <n v="23"/>
    <x v="2"/>
    <s v="Dr. Patel"/>
    <d v="2026-03-20T00:00:00"/>
    <d v="2026-03-27T00:00:00"/>
    <x v="0"/>
    <n v="14607"/>
    <s v="Cash"/>
    <s v="Recovered"/>
    <x v="1"/>
  </r>
  <r>
    <x v="219"/>
    <x v="12"/>
    <s v="Male"/>
    <n v="11"/>
    <x v="0"/>
    <s v="Dr. Verma"/>
    <d v="2026-03-10T00:00:00"/>
    <d v="2026-03-20T00:00:00"/>
    <x v="3"/>
    <n v="15523"/>
    <s v="UPI"/>
    <s v="Discharged"/>
    <x v="1"/>
  </r>
  <r>
    <x v="220"/>
    <x v="6"/>
    <s v="Male"/>
    <n v="58"/>
    <x v="5"/>
    <s v="Dr. Singh"/>
    <d v="2026-04-25T00:00:00"/>
    <d v="2026-05-04T00:00:00"/>
    <x v="0"/>
    <n v="106279"/>
    <s v="Cash"/>
    <s v="Recovered"/>
    <x v="0"/>
  </r>
  <r>
    <x v="221"/>
    <x v="12"/>
    <s v="Female"/>
    <n v="24"/>
    <x v="3"/>
    <s v="Dr. Singh"/>
    <d v="2026-06-02T00:00:00"/>
    <d v="2026-06-05T00:00:00"/>
    <x v="3"/>
    <n v="84337"/>
    <s v="Cash"/>
    <s v="Under Treatment"/>
    <x v="2"/>
  </r>
  <r>
    <x v="222"/>
    <x v="0"/>
    <s v="Female"/>
    <n v="6"/>
    <x v="3"/>
    <s v="Dr. Verma"/>
    <d v="2026-02-27T00:00:00"/>
    <d v="2026-03-02T00:00:00"/>
    <x v="0"/>
    <n v="98667"/>
    <s v="Card"/>
    <s v="Discharged"/>
    <x v="3"/>
  </r>
  <r>
    <x v="223"/>
    <x v="15"/>
    <s v="Female"/>
    <n v="74"/>
    <x v="4"/>
    <s v="Dr. Khan"/>
    <d v="2026-06-23T00:00:00"/>
    <d v="2026-07-01T00:00:00"/>
    <x v="3"/>
    <n v="89140"/>
    <s v="Card"/>
    <s v="Recovered"/>
    <x v="2"/>
  </r>
  <r>
    <x v="224"/>
    <x v="0"/>
    <s v="Female"/>
    <n v="57"/>
    <x v="0"/>
    <s v="Dr. Khan"/>
    <d v="2026-06-06T00:00:00"/>
    <d v="2026-06-15T00:00:00"/>
    <x v="3"/>
    <n v="77216"/>
    <s v="UPI"/>
    <s v="Under Treatment"/>
    <x v="2"/>
  </r>
  <r>
    <x v="225"/>
    <x v="8"/>
    <s v="Female"/>
    <n v="43"/>
    <x v="2"/>
    <s v="Dr. Sharma"/>
    <d v="2026-05-31T00:00:00"/>
    <d v="2026-06-07T00:00:00"/>
    <x v="5"/>
    <n v="8893"/>
    <s v="Card"/>
    <s v="Recovered"/>
    <x v="4"/>
  </r>
  <r>
    <x v="226"/>
    <x v="2"/>
    <s v="Female"/>
    <n v="10"/>
    <x v="4"/>
    <s v="Dr. Khan"/>
    <d v="2026-03-30T00:00:00"/>
    <d v="2026-04-01T00:00:00"/>
    <x v="5"/>
    <n v="111265"/>
    <s v="UPI"/>
    <s v="Under Treatment"/>
    <x v="1"/>
  </r>
  <r>
    <x v="227"/>
    <x v="14"/>
    <s v="Male"/>
    <n v="6"/>
    <x v="1"/>
    <s v="Dr. Khan"/>
    <d v="2026-03-09T00:00:00"/>
    <d v="2026-03-16T00:00:00"/>
    <x v="3"/>
    <n v="9037"/>
    <s v="UPI"/>
    <s v="Recovered"/>
    <x v="1"/>
  </r>
  <r>
    <x v="228"/>
    <x v="1"/>
    <s v="Female"/>
    <n v="17"/>
    <x v="0"/>
    <s v="Dr. Sharma"/>
    <d v="2026-03-22T00:00:00"/>
    <d v="2026-03-23T00:00:00"/>
    <x v="1"/>
    <n v="86975"/>
    <s v="Cash"/>
    <s v="Discharged"/>
    <x v="1"/>
  </r>
  <r>
    <x v="229"/>
    <x v="10"/>
    <s v="Male"/>
    <n v="36"/>
    <x v="1"/>
    <s v="Dr. Singh"/>
    <d v="2026-05-09T00:00:00"/>
    <d v="2026-05-12T00:00:00"/>
    <x v="2"/>
    <n v="97238"/>
    <s v="Card"/>
    <s v="Recovered"/>
    <x v="4"/>
  </r>
  <r>
    <x v="230"/>
    <x v="6"/>
    <s v="Male"/>
    <n v="73"/>
    <x v="2"/>
    <s v="Dr. Singh"/>
    <d v="2026-04-30T00:00:00"/>
    <d v="2026-05-10T00:00:00"/>
    <x v="4"/>
    <n v="9575"/>
    <s v="Insurance"/>
    <s v="Recovered"/>
    <x v="0"/>
  </r>
  <r>
    <x v="231"/>
    <x v="1"/>
    <s v="Male"/>
    <n v="17"/>
    <x v="4"/>
    <s v="Dr. Sharma"/>
    <d v="2026-03-06T00:00:00"/>
    <d v="2026-03-08T00:00:00"/>
    <x v="3"/>
    <n v="98161"/>
    <s v="Insurance"/>
    <s v="Recovered"/>
    <x v="1"/>
  </r>
  <r>
    <x v="232"/>
    <x v="0"/>
    <s v="Male"/>
    <n v="66"/>
    <x v="0"/>
    <s v="Dr. Sharma"/>
    <d v="2026-01-13T00:00:00"/>
    <d v="2026-01-16T00:00:00"/>
    <x v="5"/>
    <n v="14573"/>
    <s v="Insurance"/>
    <s v="Under Treatment"/>
    <x v="5"/>
  </r>
  <r>
    <x v="233"/>
    <x v="14"/>
    <s v="Male"/>
    <n v="70"/>
    <x v="4"/>
    <s v="Dr. Sharma"/>
    <d v="2026-01-24T00:00:00"/>
    <d v="2026-01-26T00:00:00"/>
    <x v="0"/>
    <n v="73849"/>
    <s v="Cash"/>
    <s v="Recovered"/>
    <x v="5"/>
  </r>
  <r>
    <x v="234"/>
    <x v="13"/>
    <s v="Female"/>
    <n v="72"/>
    <x v="5"/>
    <s v="Dr. Khan"/>
    <d v="2026-03-02T00:00:00"/>
    <d v="2026-03-03T00:00:00"/>
    <x v="2"/>
    <n v="70471"/>
    <s v="Insurance"/>
    <s v="Discharged"/>
    <x v="1"/>
  </r>
  <r>
    <x v="235"/>
    <x v="2"/>
    <s v="Male"/>
    <n v="57"/>
    <x v="1"/>
    <s v="Dr. Khan"/>
    <d v="2026-04-23T00:00:00"/>
    <d v="2026-04-26T00:00:00"/>
    <x v="0"/>
    <n v="56116"/>
    <s v="Insurance"/>
    <s v="Under Treatment"/>
    <x v="0"/>
  </r>
  <r>
    <x v="236"/>
    <x v="11"/>
    <s v="Female"/>
    <n v="66"/>
    <x v="3"/>
    <s v="Dr. Singh"/>
    <d v="2026-04-10T00:00:00"/>
    <d v="2026-04-19T00:00:00"/>
    <x v="3"/>
    <n v="94467"/>
    <s v="Card"/>
    <s v="Under Treatment"/>
    <x v="0"/>
  </r>
  <r>
    <x v="237"/>
    <x v="7"/>
    <s v="Female"/>
    <n v="72"/>
    <x v="2"/>
    <s v="Dr. Singh"/>
    <d v="2026-01-21T00:00:00"/>
    <d v="2026-01-27T00:00:00"/>
    <x v="1"/>
    <n v="37067"/>
    <s v="UPI"/>
    <s v="Under Treatment"/>
    <x v="5"/>
  </r>
  <r>
    <x v="238"/>
    <x v="5"/>
    <s v="Female"/>
    <n v="8"/>
    <x v="0"/>
    <s v="Dr. Khan"/>
    <d v="2026-05-14T00:00:00"/>
    <d v="2026-05-22T00:00:00"/>
    <x v="2"/>
    <n v="117794"/>
    <s v="Card"/>
    <s v="Discharged"/>
    <x v="4"/>
  </r>
  <r>
    <x v="239"/>
    <x v="10"/>
    <s v="Male"/>
    <n v="75"/>
    <x v="1"/>
    <s v="Dr. Verma"/>
    <d v="2026-03-11T00:00:00"/>
    <d v="2026-03-13T00:00:00"/>
    <x v="1"/>
    <n v="77820"/>
    <s v="UPI"/>
    <s v="Recovered"/>
    <x v="1"/>
  </r>
  <r>
    <x v="240"/>
    <x v="10"/>
    <s v="Female"/>
    <n v="6"/>
    <x v="3"/>
    <s v="Dr. Sharma"/>
    <d v="2026-01-03T00:00:00"/>
    <d v="2026-01-11T00:00:00"/>
    <x v="0"/>
    <n v="37445"/>
    <s v="Insurance"/>
    <s v="Recovered"/>
    <x v="5"/>
  </r>
  <r>
    <x v="241"/>
    <x v="12"/>
    <s v="Male"/>
    <n v="72"/>
    <x v="0"/>
    <s v="Dr. Sharma"/>
    <d v="2026-05-29T00:00:00"/>
    <d v="2026-06-08T00:00:00"/>
    <x v="1"/>
    <n v="90835"/>
    <s v="UPI"/>
    <s v="Discharged"/>
    <x v="4"/>
  </r>
  <r>
    <x v="242"/>
    <x v="10"/>
    <s v="Female"/>
    <n v="14"/>
    <x v="2"/>
    <s v="Dr. Patel"/>
    <d v="2026-06-14T00:00:00"/>
    <d v="2026-06-24T00:00:00"/>
    <x v="5"/>
    <n v="115684"/>
    <s v="Insurance"/>
    <s v="Discharged"/>
    <x v="2"/>
  </r>
  <r>
    <x v="243"/>
    <x v="2"/>
    <s v="Male"/>
    <n v="37"/>
    <x v="4"/>
    <s v="Dr. Verma"/>
    <d v="2026-06-08T00:00:00"/>
    <d v="2026-06-14T00:00:00"/>
    <x v="0"/>
    <n v="70102"/>
    <s v="UPI"/>
    <s v="Recovered"/>
    <x v="2"/>
  </r>
  <r>
    <x v="244"/>
    <x v="1"/>
    <s v="Female"/>
    <n v="63"/>
    <x v="3"/>
    <s v="Dr. Singh"/>
    <d v="2026-05-25T00:00:00"/>
    <d v="2026-05-27T00:00:00"/>
    <x v="5"/>
    <n v="94416"/>
    <s v="Card"/>
    <s v="Recovered"/>
    <x v="4"/>
  </r>
  <r>
    <x v="245"/>
    <x v="10"/>
    <s v="Female"/>
    <n v="28"/>
    <x v="4"/>
    <s v="Dr. Verma"/>
    <d v="2026-06-04T00:00:00"/>
    <d v="2026-06-05T00:00:00"/>
    <x v="0"/>
    <n v="112310"/>
    <s v="UPI"/>
    <s v="Discharged"/>
    <x v="2"/>
  </r>
  <r>
    <x v="246"/>
    <x v="11"/>
    <s v="Male"/>
    <n v="65"/>
    <x v="5"/>
    <s v="Dr. Khan"/>
    <d v="2026-05-26T00:00:00"/>
    <d v="2026-05-29T00:00:00"/>
    <x v="0"/>
    <n v="94972"/>
    <s v="Cash"/>
    <s v="Under Treatment"/>
    <x v="4"/>
  </r>
  <r>
    <x v="247"/>
    <x v="8"/>
    <s v="Male"/>
    <n v="11"/>
    <x v="2"/>
    <s v="Dr. Patel"/>
    <d v="2026-03-11T00:00:00"/>
    <d v="2026-03-16T00:00:00"/>
    <x v="3"/>
    <n v="61950"/>
    <s v="Card"/>
    <s v="Discharged"/>
    <x v="1"/>
  </r>
  <r>
    <x v="248"/>
    <x v="14"/>
    <s v="Female"/>
    <n v="12"/>
    <x v="0"/>
    <s v="Dr. Patel"/>
    <d v="2026-01-14T00:00:00"/>
    <d v="2026-01-15T00:00:00"/>
    <x v="5"/>
    <n v="7621"/>
    <s v="UPI"/>
    <s v="Recovered"/>
    <x v="5"/>
  </r>
  <r>
    <x v="249"/>
    <x v="4"/>
    <s v="Male"/>
    <n v="74"/>
    <x v="5"/>
    <s v="Dr. Verma"/>
    <d v="2026-01-16T00:00:00"/>
    <d v="2026-01-18T00:00:00"/>
    <x v="3"/>
    <n v="47519"/>
    <s v="Card"/>
    <s v="Recovered"/>
    <x v="5"/>
  </r>
  <r>
    <x v="250"/>
    <x v="12"/>
    <s v="Male"/>
    <n v="78"/>
    <x v="0"/>
    <s v="Dr. Singh"/>
    <d v="2026-06-14T00:00:00"/>
    <d v="2026-06-20T00:00:00"/>
    <x v="3"/>
    <n v="30766"/>
    <s v="Insurance"/>
    <s v="Recovered"/>
    <x v="2"/>
  </r>
  <r>
    <x v="251"/>
    <x v="10"/>
    <s v="Male"/>
    <n v="44"/>
    <x v="2"/>
    <s v="Dr. Singh"/>
    <d v="2026-04-23T00:00:00"/>
    <d v="2026-04-26T00:00:00"/>
    <x v="2"/>
    <n v="97440"/>
    <s v="Card"/>
    <s v="Under Treatment"/>
    <x v="0"/>
  </r>
  <r>
    <x v="252"/>
    <x v="11"/>
    <s v="Female"/>
    <n v="16"/>
    <x v="4"/>
    <s v="Dr. Sharma"/>
    <d v="2026-05-16T00:00:00"/>
    <d v="2026-05-19T00:00:00"/>
    <x v="0"/>
    <n v="48557"/>
    <s v="Cash"/>
    <s v="Recovered"/>
    <x v="4"/>
  </r>
  <r>
    <x v="253"/>
    <x v="2"/>
    <s v="Male"/>
    <n v="76"/>
    <x v="2"/>
    <s v="Dr. Verma"/>
    <d v="2026-05-22T00:00:00"/>
    <d v="2026-05-26T00:00:00"/>
    <x v="2"/>
    <n v="40581"/>
    <s v="Cash"/>
    <s v="Under Treatment"/>
    <x v="4"/>
  </r>
  <r>
    <x v="254"/>
    <x v="7"/>
    <s v="Female"/>
    <n v="53"/>
    <x v="3"/>
    <s v="Dr. Khan"/>
    <d v="2026-02-28T00:00:00"/>
    <d v="2026-03-02T00:00:00"/>
    <x v="2"/>
    <n v="25329"/>
    <s v="UPI"/>
    <s v="Recovered"/>
    <x v="3"/>
  </r>
  <r>
    <x v="255"/>
    <x v="4"/>
    <s v="Female"/>
    <n v="68"/>
    <x v="0"/>
    <s v="Dr. Singh"/>
    <d v="2026-01-18T00:00:00"/>
    <d v="2026-01-27T00:00:00"/>
    <x v="1"/>
    <n v="62806"/>
    <s v="UPI"/>
    <s v="Under Treatment"/>
    <x v="5"/>
  </r>
  <r>
    <x v="256"/>
    <x v="7"/>
    <s v="Male"/>
    <n v="11"/>
    <x v="3"/>
    <s v="Dr. Patel"/>
    <d v="2026-03-03T00:00:00"/>
    <d v="2026-03-09T00:00:00"/>
    <x v="3"/>
    <n v="110425"/>
    <s v="Insurance"/>
    <s v="Recovered"/>
    <x v="1"/>
  </r>
  <r>
    <x v="257"/>
    <x v="3"/>
    <s v="Female"/>
    <n v="37"/>
    <x v="0"/>
    <s v="Dr. Verma"/>
    <d v="2026-04-21T00:00:00"/>
    <d v="2026-04-28T00:00:00"/>
    <x v="1"/>
    <n v="35369"/>
    <s v="UPI"/>
    <s v="Under Treatment"/>
    <x v="0"/>
  </r>
  <r>
    <x v="258"/>
    <x v="1"/>
    <s v="Male"/>
    <n v="34"/>
    <x v="4"/>
    <s v="Dr. Sharma"/>
    <d v="2026-03-22T00:00:00"/>
    <d v="2026-03-28T00:00:00"/>
    <x v="2"/>
    <n v="100558"/>
    <s v="Card"/>
    <s v="Under Treatment"/>
    <x v="1"/>
  </r>
  <r>
    <x v="259"/>
    <x v="14"/>
    <s v="Male"/>
    <n v="77"/>
    <x v="2"/>
    <s v="Dr. Sharma"/>
    <d v="2026-05-31T00:00:00"/>
    <d v="2026-06-06T00:00:00"/>
    <x v="4"/>
    <n v="5953"/>
    <s v="UPI"/>
    <s v="Discharged"/>
    <x v="4"/>
  </r>
  <r>
    <x v="260"/>
    <x v="11"/>
    <s v="Male"/>
    <n v="50"/>
    <x v="2"/>
    <s v="Dr. Khan"/>
    <d v="2026-01-27T00:00:00"/>
    <d v="2026-02-05T00:00:00"/>
    <x v="5"/>
    <n v="93644"/>
    <s v="Insurance"/>
    <s v="Under Treatment"/>
    <x v="5"/>
  </r>
  <r>
    <x v="261"/>
    <x v="4"/>
    <s v="Female"/>
    <n v="40"/>
    <x v="0"/>
    <s v="Dr. Patel"/>
    <d v="2026-03-13T00:00:00"/>
    <d v="2026-03-21T00:00:00"/>
    <x v="5"/>
    <n v="13574"/>
    <s v="Insurance"/>
    <s v="Discharged"/>
    <x v="1"/>
  </r>
  <r>
    <x v="262"/>
    <x v="7"/>
    <s v="Female"/>
    <n v="23"/>
    <x v="1"/>
    <s v="Dr. Sharma"/>
    <d v="2026-05-10T00:00:00"/>
    <d v="2026-05-17T00:00:00"/>
    <x v="3"/>
    <n v="101019"/>
    <s v="Insurance"/>
    <s v="Discharged"/>
    <x v="4"/>
  </r>
  <r>
    <x v="263"/>
    <x v="9"/>
    <s v="Female"/>
    <n v="58"/>
    <x v="5"/>
    <s v="Dr. Singh"/>
    <d v="2026-02-13T00:00:00"/>
    <d v="2026-02-22T00:00:00"/>
    <x v="1"/>
    <n v="57790"/>
    <s v="UPI"/>
    <s v="Under Treatment"/>
    <x v="3"/>
  </r>
  <r>
    <x v="264"/>
    <x v="0"/>
    <s v="Female"/>
    <n v="11"/>
    <x v="0"/>
    <s v="Dr. Khan"/>
    <d v="2026-04-09T00:00:00"/>
    <d v="2026-04-15T00:00:00"/>
    <x v="5"/>
    <n v="102463"/>
    <s v="Cash"/>
    <s v="Recovered"/>
    <x v="0"/>
  </r>
  <r>
    <x v="265"/>
    <x v="15"/>
    <s v="Female"/>
    <n v="42"/>
    <x v="0"/>
    <s v="Dr. Verma"/>
    <d v="2026-06-29T00:00:00"/>
    <d v="2026-07-05T00:00:00"/>
    <x v="3"/>
    <n v="87522"/>
    <s v="UPI"/>
    <s v="Under Treatment"/>
    <x v="2"/>
  </r>
  <r>
    <x v="266"/>
    <x v="12"/>
    <s v="Female"/>
    <n v="16"/>
    <x v="3"/>
    <s v="Dr. Singh"/>
    <d v="2026-06-11T00:00:00"/>
    <d v="2026-06-21T00:00:00"/>
    <x v="0"/>
    <n v="80741"/>
    <s v="Card"/>
    <s v="Discharged"/>
    <x v="2"/>
  </r>
  <r>
    <x v="267"/>
    <x v="8"/>
    <s v="Male"/>
    <n v="60"/>
    <x v="1"/>
    <s v="Dr. Khan"/>
    <d v="2026-01-07T00:00:00"/>
    <d v="2026-01-16T00:00:00"/>
    <x v="3"/>
    <n v="21618"/>
    <s v="Insurance"/>
    <s v="Recovered"/>
    <x v="5"/>
  </r>
  <r>
    <x v="268"/>
    <x v="11"/>
    <s v="Female"/>
    <n v="18"/>
    <x v="3"/>
    <s v="Dr. Patel"/>
    <d v="2026-02-01T00:00:00"/>
    <d v="2026-02-10T00:00:00"/>
    <x v="2"/>
    <n v="71613"/>
    <s v="Cash"/>
    <s v="Discharged"/>
    <x v="3"/>
  </r>
  <r>
    <x v="269"/>
    <x v="10"/>
    <s v="Female"/>
    <n v="66"/>
    <x v="3"/>
    <s v="Dr. Khan"/>
    <d v="2026-04-16T00:00:00"/>
    <d v="2026-04-24T00:00:00"/>
    <x v="1"/>
    <n v="91429"/>
    <s v="Cash"/>
    <s v="Recovered"/>
    <x v="0"/>
  </r>
  <r>
    <x v="270"/>
    <x v="9"/>
    <s v="Male"/>
    <n v="38"/>
    <x v="1"/>
    <s v="Dr. Khan"/>
    <d v="2026-04-13T00:00:00"/>
    <d v="2026-04-14T00:00:00"/>
    <x v="1"/>
    <n v="62562"/>
    <s v="Cash"/>
    <s v="Recovered"/>
    <x v="0"/>
  </r>
  <r>
    <x v="271"/>
    <x v="5"/>
    <s v="Female"/>
    <n v="69"/>
    <x v="1"/>
    <s v="Dr. Patel"/>
    <d v="2026-01-26T00:00:00"/>
    <d v="2026-02-05T00:00:00"/>
    <x v="4"/>
    <n v="19535"/>
    <s v="Cash"/>
    <s v="Recovered"/>
    <x v="5"/>
  </r>
  <r>
    <x v="272"/>
    <x v="7"/>
    <s v="Male"/>
    <n v="20"/>
    <x v="2"/>
    <s v="Dr. Patel"/>
    <d v="2026-06-02T00:00:00"/>
    <d v="2026-06-07T00:00:00"/>
    <x v="4"/>
    <n v="35363"/>
    <s v="UPI"/>
    <s v="Recovered"/>
    <x v="2"/>
  </r>
  <r>
    <x v="273"/>
    <x v="11"/>
    <s v="Female"/>
    <n v="37"/>
    <x v="1"/>
    <s v="Dr. Verma"/>
    <d v="2026-04-06T00:00:00"/>
    <d v="2026-04-12T00:00:00"/>
    <x v="2"/>
    <n v="49174"/>
    <s v="UPI"/>
    <s v="Recovered"/>
    <x v="0"/>
  </r>
  <r>
    <x v="274"/>
    <x v="10"/>
    <s v="Female"/>
    <n v="5"/>
    <x v="5"/>
    <s v="Dr. Patel"/>
    <d v="2026-03-11T00:00:00"/>
    <d v="2026-03-12T00:00:00"/>
    <x v="4"/>
    <n v="84659"/>
    <s v="UPI"/>
    <s v="Discharged"/>
    <x v="1"/>
  </r>
  <r>
    <x v="275"/>
    <x v="1"/>
    <s v="Male"/>
    <n v="40"/>
    <x v="1"/>
    <s v="Dr. Verma"/>
    <d v="2026-01-24T00:00:00"/>
    <d v="2026-01-29T00:00:00"/>
    <x v="5"/>
    <n v="114155"/>
    <s v="Cash"/>
    <s v="Recovered"/>
    <x v="5"/>
  </r>
  <r>
    <x v="276"/>
    <x v="6"/>
    <s v="Male"/>
    <n v="8"/>
    <x v="2"/>
    <s v="Dr. Patel"/>
    <d v="2026-01-07T00:00:00"/>
    <d v="2026-01-13T00:00:00"/>
    <x v="5"/>
    <n v="66330"/>
    <s v="UPI"/>
    <s v="Discharged"/>
    <x v="5"/>
  </r>
  <r>
    <x v="277"/>
    <x v="4"/>
    <s v="Male"/>
    <n v="41"/>
    <x v="5"/>
    <s v="Dr. Sharma"/>
    <d v="2026-03-01T00:00:00"/>
    <d v="2026-03-06T00:00:00"/>
    <x v="0"/>
    <n v="57884"/>
    <s v="Insurance"/>
    <s v="Under Treatment"/>
    <x v="1"/>
  </r>
  <r>
    <x v="278"/>
    <x v="9"/>
    <s v="Male"/>
    <n v="30"/>
    <x v="5"/>
    <s v="Dr. Singh"/>
    <d v="2026-01-27T00:00:00"/>
    <d v="2026-02-04T00:00:00"/>
    <x v="3"/>
    <n v="41173"/>
    <s v="UPI"/>
    <s v="Recovered"/>
    <x v="5"/>
  </r>
  <r>
    <x v="279"/>
    <x v="11"/>
    <s v="Female"/>
    <n v="34"/>
    <x v="4"/>
    <s v="Dr. Khan"/>
    <d v="2026-03-04T00:00:00"/>
    <d v="2026-03-14T00:00:00"/>
    <x v="5"/>
    <n v="48380"/>
    <s v="UPI"/>
    <s v="Recovered"/>
    <x v="1"/>
  </r>
  <r>
    <x v="280"/>
    <x v="9"/>
    <s v="Female"/>
    <n v="58"/>
    <x v="4"/>
    <s v="Dr. Singh"/>
    <d v="2026-03-12T00:00:00"/>
    <d v="2026-03-14T00:00:00"/>
    <x v="2"/>
    <n v="17445"/>
    <s v="UPI"/>
    <s v="Under Treatment"/>
    <x v="1"/>
  </r>
  <r>
    <x v="281"/>
    <x v="10"/>
    <s v="Male"/>
    <n v="12"/>
    <x v="3"/>
    <s v="Dr. Patel"/>
    <d v="2026-03-28T00:00:00"/>
    <d v="2026-04-06T00:00:00"/>
    <x v="1"/>
    <n v="24768"/>
    <s v="Card"/>
    <s v="Under Treatment"/>
    <x v="1"/>
  </r>
  <r>
    <x v="282"/>
    <x v="14"/>
    <s v="Male"/>
    <n v="22"/>
    <x v="5"/>
    <s v="Dr. Verma"/>
    <d v="2026-05-10T00:00:00"/>
    <d v="2026-05-13T00:00:00"/>
    <x v="5"/>
    <n v="75533"/>
    <s v="UPI"/>
    <s v="Discharged"/>
    <x v="4"/>
  </r>
  <r>
    <x v="283"/>
    <x v="14"/>
    <s v="Male"/>
    <n v="63"/>
    <x v="3"/>
    <s v="Dr. Verma"/>
    <d v="2026-03-17T00:00:00"/>
    <d v="2026-03-20T00:00:00"/>
    <x v="5"/>
    <n v="71045"/>
    <s v="UPI"/>
    <s v="Under Treatment"/>
    <x v="1"/>
  </r>
  <r>
    <x v="284"/>
    <x v="4"/>
    <s v="Male"/>
    <n v="45"/>
    <x v="5"/>
    <s v="Dr. Singh"/>
    <d v="2026-03-09T00:00:00"/>
    <d v="2026-03-18T00:00:00"/>
    <x v="2"/>
    <n v="86689"/>
    <s v="Cash"/>
    <s v="Under Treatment"/>
    <x v="1"/>
  </r>
  <r>
    <x v="285"/>
    <x v="11"/>
    <s v="Female"/>
    <n v="7"/>
    <x v="0"/>
    <s v="Dr. Patel"/>
    <d v="2026-05-23T00:00:00"/>
    <d v="2026-05-29T00:00:00"/>
    <x v="1"/>
    <n v="27299"/>
    <s v="Insurance"/>
    <s v="Recovered"/>
    <x v="4"/>
  </r>
  <r>
    <x v="286"/>
    <x v="1"/>
    <s v="Male"/>
    <n v="60"/>
    <x v="5"/>
    <s v="Dr. Patel"/>
    <d v="2026-06-20T00:00:00"/>
    <d v="2026-06-22T00:00:00"/>
    <x v="3"/>
    <n v="97491"/>
    <s v="UPI"/>
    <s v="Under Treatment"/>
    <x v="2"/>
  </r>
  <r>
    <x v="287"/>
    <x v="6"/>
    <s v="Male"/>
    <n v="44"/>
    <x v="2"/>
    <s v="Dr. Verma"/>
    <d v="2026-05-29T00:00:00"/>
    <d v="2026-06-06T00:00:00"/>
    <x v="5"/>
    <n v="65581"/>
    <s v="Insurance"/>
    <s v="Under Treatment"/>
    <x v="4"/>
  </r>
  <r>
    <x v="288"/>
    <x v="2"/>
    <s v="Female"/>
    <n v="75"/>
    <x v="3"/>
    <s v="Dr. Khan"/>
    <d v="2026-01-25T00:00:00"/>
    <d v="2026-01-27T00:00:00"/>
    <x v="4"/>
    <n v="106539"/>
    <s v="UPI"/>
    <s v="Under Treatment"/>
    <x v="5"/>
  </r>
  <r>
    <x v="289"/>
    <x v="1"/>
    <s v="Male"/>
    <n v="74"/>
    <x v="0"/>
    <s v="Dr. Patel"/>
    <d v="2026-01-28T00:00:00"/>
    <d v="2026-02-05T00:00:00"/>
    <x v="0"/>
    <n v="117300"/>
    <s v="Card"/>
    <s v="Discharged"/>
    <x v="5"/>
  </r>
  <r>
    <x v="290"/>
    <x v="13"/>
    <s v="Male"/>
    <n v="75"/>
    <x v="1"/>
    <s v="Dr. Verma"/>
    <d v="2026-05-30T00:00:00"/>
    <d v="2026-06-01T00:00:00"/>
    <x v="0"/>
    <n v="71809"/>
    <s v="Insurance"/>
    <s v="Discharged"/>
    <x v="4"/>
  </r>
  <r>
    <x v="291"/>
    <x v="0"/>
    <s v="Female"/>
    <n v="72"/>
    <x v="2"/>
    <s v="Dr. Verma"/>
    <d v="2026-05-13T00:00:00"/>
    <d v="2026-05-21T00:00:00"/>
    <x v="3"/>
    <n v="18761"/>
    <s v="UPI"/>
    <s v="Discharged"/>
    <x v="4"/>
  </r>
  <r>
    <x v="292"/>
    <x v="8"/>
    <s v="Female"/>
    <n v="29"/>
    <x v="4"/>
    <s v="Dr. Khan"/>
    <d v="2026-06-27T00:00:00"/>
    <d v="2026-06-29T00:00:00"/>
    <x v="1"/>
    <n v="95554"/>
    <s v="Cash"/>
    <s v="Under Treatment"/>
    <x v="2"/>
  </r>
  <r>
    <x v="293"/>
    <x v="9"/>
    <s v="Female"/>
    <n v="69"/>
    <x v="3"/>
    <s v="Dr. Khan"/>
    <d v="2026-05-04T00:00:00"/>
    <d v="2026-05-12T00:00:00"/>
    <x v="5"/>
    <n v="19398"/>
    <s v="Cash"/>
    <s v="Recovered"/>
    <x v="4"/>
  </r>
  <r>
    <x v="294"/>
    <x v="12"/>
    <s v="Male"/>
    <n v="39"/>
    <x v="4"/>
    <s v="Dr. Verma"/>
    <d v="2026-01-22T00:00:00"/>
    <d v="2026-01-25T00:00:00"/>
    <x v="1"/>
    <n v="68620"/>
    <s v="UPI"/>
    <s v="Under Treatment"/>
    <x v="5"/>
  </r>
  <r>
    <x v="295"/>
    <x v="12"/>
    <s v="Female"/>
    <n v="5"/>
    <x v="0"/>
    <s v="Dr. Khan"/>
    <d v="2026-05-22T00:00:00"/>
    <d v="2026-05-26T00:00:00"/>
    <x v="3"/>
    <n v="6976"/>
    <s v="Cash"/>
    <s v="Discharged"/>
    <x v="4"/>
  </r>
  <r>
    <x v="296"/>
    <x v="12"/>
    <s v="Male"/>
    <n v="62"/>
    <x v="2"/>
    <s v="Dr. Patel"/>
    <d v="2026-02-12T00:00:00"/>
    <d v="2026-02-15T00:00:00"/>
    <x v="0"/>
    <n v="40008"/>
    <s v="Card"/>
    <s v="Under Treatment"/>
    <x v="3"/>
  </r>
  <r>
    <x v="297"/>
    <x v="12"/>
    <s v="Female"/>
    <n v="22"/>
    <x v="2"/>
    <s v="Dr. Verma"/>
    <d v="2026-02-02T00:00:00"/>
    <d v="2026-02-06T00:00:00"/>
    <x v="0"/>
    <n v="111625"/>
    <s v="UPI"/>
    <s v="Recovered"/>
    <x v="3"/>
  </r>
  <r>
    <x v="298"/>
    <x v="14"/>
    <s v="Female"/>
    <n v="6"/>
    <x v="3"/>
    <s v="Dr. Patel"/>
    <d v="2026-04-23T00:00:00"/>
    <d v="2026-04-27T00:00:00"/>
    <x v="1"/>
    <n v="106816"/>
    <s v="Card"/>
    <s v="Recovered"/>
    <x v="0"/>
  </r>
  <r>
    <x v="299"/>
    <x v="14"/>
    <s v="Female"/>
    <n v="16"/>
    <x v="3"/>
    <s v="Dr. Singh"/>
    <d v="2026-04-05T00:00:00"/>
    <d v="2026-04-12T00:00:00"/>
    <x v="3"/>
    <n v="100975"/>
    <s v="Insurance"/>
    <s v="Under Treatment"/>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EE9763-8767-4A6D-87B3-BB2E1753E8D0}" name="PivotTable28"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4" firstHeaderRow="0" firstDataRow="1" firstDataCol="0"/>
  <pivotFields count="13">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7">
        <item x="11"/>
        <item x="6"/>
        <item x="13"/>
        <item x="0"/>
        <item x="10"/>
        <item x="9"/>
        <item x="1"/>
        <item x="15"/>
        <item x="3"/>
        <item x="7"/>
        <item x="12"/>
        <item x="2"/>
        <item x="5"/>
        <item x="8"/>
        <item x="4"/>
        <item x="14"/>
        <item t="default"/>
      </items>
    </pivotField>
    <pivotField showAll="0"/>
    <pivotField showAll="0"/>
    <pivotField showAll="0">
      <items count="7">
        <item x="0"/>
        <item x="2"/>
        <item x="3"/>
        <item x="4"/>
        <item x="5"/>
        <item x="1"/>
        <item t="default"/>
      </items>
    </pivotField>
    <pivotField showAll="0"/>
    <pivotField numFmtId="164" showAll="0"/>
    <pivotField numFmtId="164" showAll="0"/>
    <pivotField showAll="0">
      <items count="7">
        <item x="1"/>
        <item x="2"/>
        <item x="0"/>
        <item x="5"/>
        <item x="3"/>
        <item x="4"/>
        <item t="default"/>
      </items>
    </pivotField>
    <pivotField dataField="1" showAll="0"/>
    <pivotField showAll="0"/>
    <pivotField showAll="0"/>
    <pivotField showAll="0">
      <items count="7">
        <item x="5"/>
        <item x="3"/>
        <item x="1"/>
        <item x="0"/>
        <item x="4"/>
        <item x="2"/>
        <item t="default"/>
      </items>
    </pivotField>
  </pivotFields>
  <rowItems count="1">
    <i/>
  </rowItems>
  <colFields count="1">
    <field x="-2"/>
  </colFields>
  <colItems count="2">
    <i>
      <x/>
    </i>
    <i i="1">
      <x v="1"/>
    </i>
  </colItems>
  <dataFields count="2">
    <dataField name="Count of Patient ID" fld="0" subtotal="count" baseField="0" baseItem="0"/>
    <dataField name="Sum of Treatment Cost" fld="9" baseField="0" baseItem="0" numFmtId="165"/>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BF8540-F3E2-45FB-AFE2-762C3AB62851}" name="PivotTable27"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0" firstHeaderRow="1" firstDataRow="1" firstDataCol="1"/>
  <pivotFields count="13">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7">
        <item x="11"/>
        <item x="6"/>
        <item x="13"/>
        <item x="0"/>
        <item x="10"/>
        <item x="9"/>
        <item x="1"/>
        <item x="15"/>
        <item x="3"/>
        <item x="7"/>
        <item x="12"/>
        <item x="2"/>
        <item x="5"/>
        <item x="8"/>
        <item x="4"/>
        <item x="14"/>
        <item t="default"/>
      </items>
    </pivotField>
    <pivotField showAll="0"/>
    <pivotField showAll="0"/>
    <pivotField showAll="0">
      <items count="7">
        <item x="0"/>
        <item x="2"/>
        <item x="3"/>
        <item x="4"/>
        <item x="5"/>
        <item x="1"/>
        <item t="default"/>
      </items>
    </pivotField>
    <pivotField showAll="0"/>
    <pivotField dataField="1" numFmtId="164" showAll="0"/>
    <pivotField numFmtId="164" showAll="0"/>
    <pivotField showAll="0">
      <items count="7">
        <item x="1"/>
        <item x="2"/>
        <item x="0"/>
        <item x="5"/>
        <item x="3"/>
        <item x="4"/>
        <item t="default"/>
      </items>
    </pivotField>
    <pivotField showAll="0"/>
    <pivotField showAll="0"/>
    <pivotField showAll="0"/>
    <pivotField axis="axisRow" showAll="0">
      <items count="7">
        <item x="5"/>
        <item x="3"/>
        <item x="1"/>
        <item x="0"/>
        <item x="4"/>
        <item x="2"/>
        <item t="default"/>
      </items>
    </pivotField>
  </pivotFields>
  <rowFields count="1">
    <field x="12"/>
  </rowFields>
  <rowItems count="7">
    <i>
      <x/>
    </i>
    <i>
      <x v="1"/>
    </i>
    <i>
      <x v="2"/>
    </i>
    <i>
      <x v="3"/>
    </i>
    <i>
      <x v="4"/>
    </i>
    <i>
      <x v="5"/>
    </i>
    <i t="grand">
      <x/>
    </i>
  </rowItems>
  <colItems count="1">
    <i/>
  </colItems>
  <dataFields count="1">
    <dataField name="Count of Admission Date" fld="6" subtotal="count" baseField="0" baseItem="0"/>
  </dataField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C60E3D-3FFF-42A6-ACFE-55F16C67FD96}" name="PivotTable2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0" firstHeaderRow="1" firstDataRow="1" firstDataCol="1"/>
  <pivotFields count="13">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7">
        <item x="11"/>
        <item x="6"/>
        <item x="13"/>
        <item x="0"/>
        <item x="10"/>
        <item x="9"/>
        <item x="1"/>
        <item x="15"/>
        <item x="3"/>
        <item x="7"/>
        <item x="12"/>
        <item x="2"/>
        <item x="5"/>
        <item x="8"/>
        <item x="4"/>
        <item x="14"/>
        <item t="default"/>
      </items>
    </pivotField>
    <pivotField showAll="0"/>
    <pivotField showAll="0"/>
    <pivotField axis="axisRow" showAll="0">
      <items count="7">
        <item x="0"/>
        <item x="2"/>
        <item x="3"/>
        <item x="4"/>
        <item x="5"/>
        <item x="1"/>
        <item t="default"/>
      </items>
    </pivotField>
    <pivotField showAll="0"/>
    <pivotField numFmtId="164" showAll="0"/>
    <pivotField numFmtId="164" showAll="0"/>
    <pivotField showAll="0">
      <items count="7">
        <item x="1"/>
        <item x="2"/>
        <item x="0"/>
        <item x="5"/>
        <item x="3"/>
        <item x="4"/>
        <item t="default"/>
      </items>
    </pivotField>
    <pivotField dataField="1" showAll="0"/>
    <pivotField showAll="0"/>
    <pivotField showAll="0"/>
    <pivotField showAll="0">
      <items count="7">
        <item x="5"/>
        <item x="3"/>
        <item x="1"/>
        <item x="0"/>
        <item x="4"/>
        <item x="2"/>
        <item t="default"/>
      </items>
    </pivotField>
  </pivotFields>
  <rowFields count="1">
    <field x="4"/>
  </rowFields>
  <rowItems count="7">
    <i>
      <x/>
    </i>
    <i>
      <x v="1"/>
    </i>
    <i>
      <x v="2"/>
    </i>
    <i>
      <x v="3"/>
    </i>
    <i>
      <x v="4"/>
    </i>
    <i>
      <x v="5"/>
    </i>
    <i t="grand">
      <x/>
    </i>
  </rowItems>
  <colItems count="1">
    <i/>
  </colItems>
  <dataFields count="1">
    <dataField name="Sum of Treatment Cost" fld="9" baseField="0" baseItem="0"/>
  </dataFields>
  <formats count="1">
    <format dxfId="1">
      <pivotArea collapsedLevelsAreSubtotals="1" fieldPosition="0">
        <references count="1">
          <reference field="4" count="0"/>
        </references>
      </pivotArea>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29D1D5-B009-40C3-B119-37408DF9DF2C}" name="PivotTable2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0" firstHeaderRow="1" firstDataRow="1" firstDataCol="1"/>
  <pivotFields count="13">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7">
        <item x="11"/>
        <item x="6"/>
        <item x="13"/>
        <item x="0"/>
        <item x="10"/>
        <item x="9"/>
        <item x="1"/>
        <item x="15"/>
        <item x="3"/>
        <item x="7"/>
        <item x="12"/>
        <item x="2"/>
        <item x="5"/>
        <item x="8"/>
        <item x="4"/>
        <item x="14"/>
        <item t="default"/>
      </items>
    </pivotField>
    <pivotField showAll="0"/>
    <pivotField showAll="0"/>
    <pivotField showAll="0">
      <items count="7">
        <item x="0"/>
        <item x="2"/>
        <item x="3"/>
        <item x="4"/>
        <item x="5"/>
        <item x="1"/>
        <item t="default"/>
      </items>
    </pivotField>
    <pivotField showAll="0"/>
    <pivotField numFmtId="164" showAll="0"/>
    <pivotField numFmtId="164" showAll="0"/>
    <pivotField axis="axisRow" showAll="0">
      <items count="7">
        <item x="1"/>
        <item x="2"/>
        <item x="0"/>
        <item x="5"/>
        <item x="3"/>
        <item x="4"/>
        <item t="default"/>
      </items>
    </pivotField>
    <pivotField showAll="0"/>
    <pivotField showAll="0"/>
    <pivotField showAll="0"/>
    <pivotField showAll="0">
      <items count="7">
        <item x="5"/>
        <item x="3"/>
        <item x="1"/>
        <item x="0"/>
        <item x="4"/>
        <item x="2"/>
        <item t="default"/>
      </items>
    </pivotField>
  </pivotFields>
  <rowFields count="1">
    <field x="8"/>
  </rowFields>
  <rowItems count="7">
    <i>
      <x/>
    </i>
    <i>
      <x v="1"/>
    </i>
    <i>
      <x v="2"/>
    </i>
    <i>
      <x v="3"/>
    </i>
    <i>
      <x v="4"/>
    </i>
    <i>
      <x v="5"/>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E81963-4B45-4BB8-8CEC-1E49096AF0BA}" name="PivotTable2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3">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7">
        <item x="11"/>
        <item x="6"/>
        <item x="13"/>
        <item x="0"/>
        <item x="10"/>
        <item x="9"/>
        <item x="1"/>
        <item x="15"/>
        <item x="3"/>
        <item x="7"/>
        <item x="12"/>
        <item x="2"/>
        <item x="5"/>
        <item x="8"/>
        <item x="4"/>
        <item x="14"/>
        <item t="default"/>
      </items>
    </pivotField>
    <pivotField showAll="0"/>
    <pivotField showAll="0"/>
    <pivotField axis="axisRow" showAll="0">
      <items count="7">
        <item x="0"/>
        <item x="2"/>
        <item x="3"/>
        <item x="4"/>
        <item x="5"/>
        <item x="1"/>
        <item t="default"/>
      </items>
    </pivotField>
    <pivotField showAll="0"/>
    <pivotField numFmtId="164" showAll="0"/>
    <pivotField numFmtId="164" showAll="0"/>
    <pivotField showAll="0"/>
    <pivotField showAll="0"/>
    <pivotField showAll="0"/>
    <pivotField showAll="0"/>
    <pivotField showAll="0">
      <items count="7">
        <item x="5"/>
        <item x="3"/>
        <item x="1"/>
        <item x="0"/>
        <item x="4"/>
        <item x="2"/>
        <item t="default"/>
      </items>
    </pivotField>
  </pivotFields>
  <rowFields count="1">
    <field x="4"/>
  </rowFields>
  <rowItems count="7">
    <i>
      <x/>
    </i>
    <i>
      <x v="1"/>
    </i>
    <i>
      <x v="2"/>
    </i>
    <i>
      <x v="3"/>
    </i>
    <i>
      <x v="4"/>
    </i>
    <i>
      <x v="5"/>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062296-78C3-4C6E-9EAC-C51EEF6F667C}" sourceName="Department">
  <pivotTables>
    <pivotTable tabId="2" name="PivotTable24"/>
    <pivotTable tabId="2" name="PivotTable25"/>
    <pivotTable tabId="2" name="PivotTable26"/>
    <pivotTable tabId="2" name="PivotTable27"/>
    <pivotTable tabId="2" name="PivotTable28"/>
  </pivotTables>
  <data>
    <tabular pivotCacheId="1016749397">
      <items count="6">
        <i x="0" s="1"/>
        <i x="2" s="1"/>
        <i x="3"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81DCD39-29B6-4EBF-A412-EA60B32F6528}" sourceName="Month">
  <pivotTables>
    <pivotTable tabId="2" name="PivotTable24"/>
    <pivotTable tabId="2" name="PivotTable25"/>
    <pivotTable tabId="2" name="PivotTable26"/>
    <pivotTable tabId="2" name="PivotTable27"/>
    <pivotTable tabId="2" name="PivotTable28"/>
  </pivotTables>
  <data>
    <tabular pivotCacheId="1016749397">
      <items count="6">
        <i x="5" s="1"/>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E65B55F-56F1-49A4-9467-F6302F5A9D21}" cache="Slicer_Department" caption="Department" columnCount="6" rowHeight="234950"/>
  <slicer name="Month" xr10:uid="{6E951504-B01F-4506-861F-D9D95D796A3A}" cache="Slicer_Month" caption="Month"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C9F3DC-EA54-46BD-A73A-D566B29A2AF2}" name="Table3" displayName="Table3" ref="A1:M301" totalsRowShown="0">
  <autoFilter ref="A1:M301" xr:uid="{35C9F3DC-EA54-46BD-A73A-D566B29A2AF2}"/>
  <tableColumns count="13">
    <tableColumn id="1" xr3:uid="{34A6A2D2-5CC2-41E6-9CE5-554DCE306332}" name="Patient ID"/>
    <tableColumn id="2" xr3:uid="{388DC26E-490E-4158-9362-E2D2968CD3C8}" name="Patient Name"/>
    <tableColumn id="3" xr3:uid="{10F5C42B-3EF5-4FF5-9ED5-A192E79B2760}" name="Gender"/>
    <tableColumn id="4" xr3:uid="{F5122933-F33A-4816-A3E1-E286F313F4DE}" name="Age"/>
    <tableColumn id="5" xr3:uid="{C313115A-1545-4DB9-A8CD-19823AA2188E}" name="Department"/>
    <tableColumn id="6" xr3:uid="{1D79C5C5-7F05-4400-A24F-C386ADB05C6D}" name="Doctor"/>
    <tableColumn id="7" xr3:uid="{6D0F0C5B-7CA6-4995-9499-7AA9535C63E8}" name="Admission Date" dataDxfId="3"/>
    <tableColumn id="8" xr3:uid="{AC52BC20-F91F-4238-A5D8-5A6503ADCC07}" name="Discharge Date" dataDxfId="2"/>
    <tableColumn id="9" xr3:uid="{E0CE72E4-A3BE-4A37-AC56-C2E7B6C8A521}" name="City"/>
    <tableColumn id="10" xr3:uid="{04655498-723C-491A-951B-D56EAEB88FBC}" name="Treatment Cost"/>
    <tableColumn id="11" xr3:uid="{3B12B8F2-707B-453C-B5C3-E0105E72B8B7}" name="Payment Mode"/>
    <tableColumn id="12" xr3:uid="{90DC7D55-3C4E-4BDD-8675-1E91418D0326}" name="Recovery Status"/>
    <tableColumn id="13" xr3:uid="{F06681AD-CC98-4FD5-9465-A16524B19718}" name="Month">
      <calculatedColumnFormula>TEXT(G2,"mmm")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opLeftCell="A2" workbookViewId="0">
      <selection activeCell="A2" sqref="A2"/>
    </sheetView>
  </sheetViews>
  <sheetFormatPr defaultRowHeight="14.4" x14ac:dyDescent="0.3"/>
  <cols>
    <col min="1" max="1" width="11.109375" customWidth="1"/>
    <col min="2" max="2" width="14.33203125" customWidth="1"/>
    <col min="3" max="3" width="9" customWidth="1"/>
    <col min="5" max="5" width="13" customWidth="1"/>
    <col min="6" max="6" width="10" bestFit="1" customWidth="1"/>
    <col min="7" max="7" width="15.88671875" customWidth="1"/>
    <col min="8" max="8" width="15.33203125" customWidth="1"/>
    <col min="10" max="10" width="15.77734375" customWidth="1"/>
    <col min="11" max="11" width="15.88671875" customWidth="1"/>
    <col min="12" max="12" width="16.33203125" customWidth="1"/>
  </cols>
  <sheetData>
    <row r="1" spans="1:13" x14ac:dyDescent="0.3">
      <c r="A1" t="s">
        <v>0</v>
      </c>
      <c r="B1" t="s">
        <v>1</v>
      </c>
      <c r="C1" t="s">
        <v>2</v>
      </c>
      <c r="D1" t="s">
        <v>3</v>
      </c>
      <c r="E1" t="s">
        <v>4</v>
      </c>
      <c r="F1" t="s">
        <v>5</v>
      </c>
      <c r="G1" t="s">
        <v>6</v>
      </c>
      <c r="H1" t="s">
        <v>7</v>
      </c>
      <c r="I1" t="s">
        <v>8</v>
      </c>
      <c r="J1" t="s">
        <v>9</v>
      </c>
      <c r="K1" t="s">
        <v>10</v>
      </c>
      <c r="L1" t="s">
        <v>11</v>
      </c>
      <c r="M1" t="s">
        <v>354</v>
      </c>
    </row>
    <row r="2" spans="1:13" x14ac:dyDescent="0.3">
      <c r="A2" t="s">
        <v>12</v>
      </c>
      <c r="B2" t="s">
        <v>13</v>
      </c>
      <c r="C2" t="s">
        <v>14</v>
      </c>
      <c r="D2">
        <v>80</v>
      </c>
      <c r="E2" t="s">
        <v>15</v>
      </c>
      <c r="F2" t="s">
        <v>16</v>
      </c>
      <c r="G2" s="1">
        <v>46127</v>
      </c>
      <c r="H2" s="1">
        <v>46136</v>
      </c>
      <c r="I2" t="s">
        <v>17</v>
      </c>
      <c r="J2">
        <v>72870</v>
      </c>
      <c r="K2" t="s">
        <v>18</v>
      </c>
      <c r="L2" t="s">
        <v>19</v>
      </c>
      <c r="M2" t="str">
        <f>TEXT(G2,"mmm")</f>
        <v>Apr</v>
      </c>
    </row>
    <row r="3" spans="1:13" x14ac:dyDescent="0.3">
      <c r="A3" t="s">
        <v>20</v>
      </c>
      <c r="B3" t="s">
        <v>21</v>
      </c>
      <c r="C3" t="s">
        <v>22</v>
      </c>
      <c r="D3">
        <v>44</v>
      </c>
      <c r="E3" t="s">
        <v>15</v>
      </c>
      <c r="F3" t="s">
        <v>23</v>
      </c>
      <c r="G3" s="1">
        <v>46086</v>
      </c>
      <c r="H3" s="1">
        <v>46089</v>
      </c>
      <c r="I3" t="s">
        <v>17</v>
      </c>
      <c r="J3">
        <v>91292</v>
      </c>
      <c r="K3" t="s">
        <v>24</v>
      </c>
      <c r="L3" t="s">
        <v>25</v>
      </c>
      <c r="M3" t="str">
        <f t="shared" ref="M3:M66" si="0">TEXT(G3,"mmm")</f>
        <v>Mar</v>
      </c>
    </row>
    <row r="4" spans="1:13" x14ac:dyDescent="0.3">
      <c r="A4" t="s">
        <v>26</v>
      </c>
      <c r="B4" t="s">
        <v>21</v>
      </c>
      <c r="C4" t="s">
        <v>22</v>
      </c>
      <c r="D4">
        <v>80</v>
      </c>
      <c r="E4" t="s">
        <v>15</v>
      </c>
      <c r="F4" t="s">
        <v>16</v>
      </c>
      <c r="G4" s="1">
        <v>46202</v>
      </c>
      <c r="H4" s="1">
        <v>46208</v>
      </c>
      <c r="I4" t="s">
        <v>27</v>
      </c>
      <c r="J4">
        <v>119065</v>
      </c>
      <c r="K4" t="s">
        <v>18</v>
      </c>
      <c r="L4" t="s">
        <v>28</v>
      </c>
      <c r="M4" t="str">
        <f t="shared" si="0"/>
        <v>Jun</v>
      </c>
    </row>
    <row r="5" spans="1:13" x14ac:dyDescent="0.3">
      <c r="A5" t="s">
        <v>29</v>
      </c>
      <c r="B5" t="s">
        <v>30</v>
      </c>
      <c r="C5" t="s">
        <v>22</v>
      </c>
      <c r="D5">
        <v>44</v>
      </c>
      <c r="E5" t="s">
        <v>31</v>
      </c>
      <c r="F5" t="s">
        <v>16</v>
      </c>
      <c r="G5" s="1">
        <v>46127</v>
      </c>
      <c r="H5" s="1">
        <v>46130</v>
      </c>
      <c r="I5" t="s">
        <v>27</v>
      </c>
      <c r="J5">
        <v>25590</v>
      </c>
      <c r="K5" t="s">
        <v>32</v>
      </c>
      <c r="L5" t="s">
        <v>25</v>
      </c>
      <c r="M5" t="str">
        <f t="shared" si="0"/>
        <v>Apr</v>
      </c>
    </row>
    <row r="6" spans="1:13" x14ac:dyDescent="0.3">
      <c r="A6" t="s">
        <v>33</v>
      </c>
      <c r="B6" t="s">
        <v>34</v>
      </c>
      <c r="C6" t="s">
        <v>14</v>
      </c>
      <c r="D6">
        <v>27</v>
      </c>
      <c r="E6" t="s">
        <v>31</v>
      </c>
      <c r="F6" t="s">
        <v>35</v>
      </c>
      <c r="G6" s="1">
        <v>46124</v>
      </c>
      <c r="H6" s="1">
        <v>46130</v>
      </c>
      <c r="I6" t="s">
        <v>36</v>
      </c>
      <c r="J6">
        <v>40889</v>
      </c>
      <c r="K6" t="s">
        <v>37</v>
      </c>
      <c r="L6" t="s">
        <v>25</v>
      </c>
      <c r="M6" t="str">
        <f t="shared" si="0"/>
        <v>Apr</v>
      </c>
    </row>
    <row r="7" spans="1:13" x14ac:dyDescent="0.3">
      <c r="A7" t="s">
        <v>38</v>
      </c>
      <c r="B7" t="s">
        <v>39</v>
      </c>
      <c r="C7" t="s">
        <v>14</v>
      </c>
      <c r="D7">
        <v>46</v>
      </c>
      <c r="E7" t="s">
        <v>15</v>
      </c>
      <c r="F7" t="s">
        <v>23</v>
      </c>
      <c r="G7" s="1">
        <v>46116</v>
      </c>
      <c r="H7" s="1">
        <v>46121</v>
      </c>
      <c r="I7" t="s">
        <v>40</v>
      </c>
      <c r="J7">
        <v>21850</v>
      </c>
      <c r="K7" t="s">
        <v>37</v>
      </c>
      <c r="L7" t="s">
        <v>25</v>
      </c>
      <c r="M7" t="str">
        <f t="shared" si="0"/>
        <v>Apr</v>
      </c>
    </row>
    <row r="8" spans="1:13" x14ac:dyDescent="0.3">
      <c r="A8" t="s">
        <v>41</v>
      </c>
      <c r="B8" t="s">
        <v>42</v>
      </c>
      <c r="C8" t="s">
        <v>14</v>
      </c>
      <c r="D8">
        <v>17</v>
      </c>
      <c r="E8" t="s">
        <v>15</v>
      </c>
      <c r="F8" t="s">
        <v>43</v>
      </c>
      <c r="G8" s="1">
        <v>46076</v>
      </c>
      <c r="H8" s="1">
        <v>46083</v>
      </c>
      <c r="I8" t="s">
        <v>40</v>
      </c>
      <c r="J8">
        <v>71861</v>
      </c>
      <c r="K8" t="s">
        <v>32</v>
      </c>
      <c r="L8" t="s">
        <v>19</v>
      </c>
      <c r="M8" t="str">
        <f t="shared" si="0"/>
        <v>Feb</v>
      </c>
    </row>
    <row r="9" spans="1:13" x14ac:dyDescent="0.3">
      <c r="A9" t="s">
        <v>44</v>
      </c>
      <c r="B9" t="s">
        <v>34</v>
      </c>
      <c r="C9" t="s">
        <v>14</v>
      </c>
      <c r="D9">
        <v>39</v>
      </c>
      <c r="E9" t="s">
        <v>45</v>
      </c>
      <c r="F9" t="s">
        <v>35</v>
      </c>
      <c r="G9" s="1">
        <v>46170</v>
      </c>
      <c r="H9" s="1">
        <v>46177</v>
      </c>
      <c r="I9" t="s">
        <v>40</v>
      </c>
      <c r="J9">
        <v>9663</v>
      </c>
      <c r="K9" t="s">
        <v>32</v>
      </c>
      <c r="L9" t="s">
        <v>25</v>
      </c>
      <c r="M9" t="str">
        <f t="shared" si="0"/>
        <v>May</v>
      </c>
    </row>
    <row r="10" spans="1:13" x14ac:dyDescent="0.3">
      <c r="A10" t="s">
        <v>46</v>
      </c>
      <c r="B10" t="s">
        <v>47</v>
      </c>
      <c r="C10" t="s">
        <v>22</v>
      </c>
      <c r="D10">
        <v>38</v>
      </c>
      <c r="E10" t="s">
        <v>48</v>
      </c>
      <c r="F10" t="s">
        <v>16</v>
      </c>
      <c r="G10" s="1">
        <v>46129</v>
      </c>
      <c r="H10" s="1">
        <v>46138</v>
      </c>
      <c r="I10" t="s">
        <v>27</v>
      </c>
      <c r="J10">
        <v>83213</v>
      </c>
      <c r="K10" t="s">
        <v>37</v>
      </c>
      <c r="L10" t="s">
        <v>25</v>
      </c>
      <c r="M10" t="str">
        <f t="shared" si="0"/>
        <v>Apr</v>
      </c>
    </row>
    <row r="11" spans="1:13" x14ac:dyDescent="0.3">
      <c r="A11" t="s">
        <v>49</v>
      </c>
      <c r="B11" t="s">
        <v>50</v>
      </c>
      <c r="C11" t="s">
        <v>14</v>
      </c>
      <c r="D11">
        <v>9</v>
      </c>
      <c r="E11" t="s">
        <v>45</v>
      </c>
      <c r="F11" t="s">
        <v>35</v>
      </c>
      <c r="G11" s="1">
        <v>46169</v>
      </c>
      <c r="H11" s="1">
        <v>46175</v>
      </c>
      <c r="I11" t="s">
        <v>51</v>
      </c>
      <c r="J11">
        <v>75810</v>
      </c>
      <c r="K11" t="s">
        <v>37</v>
      </c>
      <c r="L11" t="s">
        <v>25</v>
      </c>
      <c r="M11" t="str">
        <f t="shared" si="0"/>
        <v>May</v>
      </c>
    </row>
    <row r="12" spans="1:13" x14ac:dyDescent="0.3">
      <c r="A12" t="s">
        <v>52</v>
      </c>
      <c r="B12" t="s">
        <v>13</v>
      </c>
      <c r="C12" t="s">
        <v>14</v>
      </c>
      <c r="D12">
        <v>11</v>
      </c>
      <c r="E12" t="s">
        <v>53</v>
      </c>
      <c r="F12" t="s">
        <v>54</v>
      </c>
      <c r="G12" s="1">
        <v>46194</v>
      </c>
      <c r="H12" s="1">
        <v>46197</v>
      </c>
      <c r="I12" t="s">
        <v>17</v>
      </c>
      <c r="J12">
        <v>59094</v>
      </c>
      <c r="K12" t="s">
        <v>24</v>
      </c>
      <c r="L12" t="s">
        <v>28</v>
      </c>
      <c r="M12" t="str">
        <f t="shared" si="0"/>
        <v>Jun</v>
      </c>
    </row>
    <row r="13" spans="1:13" x14ac:dyDescent="0.3">
      <c r="A13" t="s">
        <v>55</v>
      </c>
      <c r="B13" t="s">
        <v>21</v>
      </c>
      <c r="C13" t="s">
        <v>22</v>
      </c>
      <c r="D13">
        <v>43</v>
      </c>
      <c r="E13" t="s">
        <v>45</v>
      </c>
      <c r="F13" t="s">
        <v>16</v>
      </c>
      <c r="G13" s="1">
        <v>46103</v>
      </c>
      <c r="H13" s="1">
        <v>46113</v>
      </c>
      <c r="I13" t="s">
        <v>36</v>
      </c>
      <c r="J13">
        <v>94499</v>
      </c>
      <c r="K13" t="s">
        <v>37</v>
      </c>
      <c r="L13" t="s">
        <v>28</v>
      </c>
      <c r="M13" t="str">
        <f t="shared" si="0"/>
        <v>Mar</v>
      </c>
    </row>
    <row r="14" spans="1:13" x14ac:dyDescent="0.3">
      <c r="A14" t="s">
        <v>56</v>
      </c>
      <c r="B14" t="s">
        <v>57</v>
      </c>
      <c r="C14" t="s">
        <v>22</v>
      </c>
      <c r="D14">
        <v>52</v>
      </c>
      <c r="E14" t="s">
        <v>48</v>
      </c>
      <c r="F14" t="s">
        <v>35</v>
      </c>
      <c r="G14" s="1">
        <v>46101</v>
      </c>
      <c r="H14" s="1">
        <v>46108</v>
      </c>
      <c r="I14" t="s">
        <v>51</v>
      </c>
      <c r="J14">
        <v>117334</v>
      </c>
      <c r="K14" t="s">
        <v>18</v>
      </c>
      <c r="L14" t="s">
        <v>19</v>
      </c>
      <c r="M14" t="str">
        <f t="shared" si="0"/>
        <v>Mar</v>
      </c>
    </row>
    <row r="15" spans="1:13" x14ac:dyDescent="0.3">
      <c r="A15" t="s">
        <v>58</v>
      </c>
      <c r="B15" t="s">
        <v>30</v>
      </c>
      <c r="C15" t="s">
        <v>14</v>
      </c>
      <c r="D15">
        <v>75</v>
      </c>
      <c r="E15" t="s">
        <v>15</v>
      </c>
      <c r="F15" t="s">
        <v>43</v>
      </c>
      <c r="G15" s="1">
        <v>46191</v>
      </c>
      <c r="H15" s="1">
        <v>46197</v>
      </c>
      <c r="I15" t="s">
        <v>36</v>
      </c>
      <c r="J15">
        <v>26794</v>
      </c>
      <c r="K15" t="s">
        <v>32</v>
      </c>
      <c r="L15" t="s">
        <v>25</v>
      </c>
      <c r="M15" t="str">
        <f t="shared" si="0"/>
        <v>Jun</v>
      </c>
    </row>
    <row r="16" spans="1:13" x14ac:dyDescent="0.3">
      <c r="A16" t="s">
        <v>59</v>
      </c>
      <c r="B16" t="s">
        <v>60</v>
      </c>
      <c r="C16" t="s">
        <v>22</v>
      </c>
      <c r="D16">
        <v>36</v>
      </c>
      <c r="E16" t="s">
        <v>61</v>
      </c>
      <c r="F16" t="s">
        <v>43</v>
      </c>
      <c r="G16" s="1">
        <v>46109</v>
      </c>
      <c r="H16" s="1">
        <v>46115</v>
      </c>
      <c r="I16" t="s">
        <v>17</v>
      </c>
      <c r="J16">
        <v>83558</v>
      </c>
      <c r="K16" t="s">
        <v>37</v>
      </c>
      <c r="L16" t="s">
        <v>25</v>
      </c>
      <c r="M16" t="str">
        <f t="shared" si="0"/>
        <v>Mar</v>
      </c>
    </row>
    <row r="17" spans="1:13" x14ac:dyDescent="0.3">
      <c r="A17" t="s">
        <v>62</v>
      </c>
      <c r="B17" t="s">
        <v>57</v>
      </c>
      <c r="C17" t="s">
        <v>22</v>
      </c>
      <c r="D17">
        <v>32</v>
      </c>
      <c r="E17" t="s">
        <v>31</v>
      </c>
      <c r="F17" t="s">
        <v>23</v>
      </c>
      <c r="G17" s="1">
        <v>46109</v>
      </c>
      <c r="H17" s="1">
        <v>46116</v>
      </c>
      <c r="I17" t="s">
        <v>63</v>
      </c>
      <c r="J17">
        <v>21870</v>
      </c>
      <c r="K17" t="s">
        <v>18</v>
      </c>
      <c r="L17" t="s">
        <v>28</v>
      </c>
      <c r="M17" t="str">
        <f t="shared" si="0"/>
        <v>Mar</v>
      </c>
    </row>
    <row r="18" spans="1:13" x14ac:dyDescent="0.3">
      <c r="A18" t="s">
        <v>64</v>
      </c>
      <c r="B18" t="s">
        <v>65</v>
      </c>
      <c r="C18" t="s">
        <v>22</v>
      </c>
      <c r="D18">
        <v>65</v>
      </c>
      <c r="E18" t="s">
        <v>53</v>
      </c>
      <c r="F18" t="s">
        <v>54</v>
      </c>
      <c r="G18" s="1">
        <v>46147</v>
      </c>
      <c r="H18" s="1">
        <v>46152</v>
      </c>
      <c r="I18" t="s">
        <v>63</v>
      </c>
      <c r="J18">
        <v>23323</v>
      </c>
      <c r="K18" t="s">
        <v>32</v>
      </c>
      <c r="L18" t="s">
        <v>25</v>
      </c>
      <c r="M18" t="str">
        <f t="shared" si="0"/>
        <v>May</v>
      </c>
    </row>
    <row r="19" spans="1:13" x14ac:dyDescent="0.3">
      <c r="A19" t="s">
        <v>66</v>
      </c>
      <c r="B19" t="s">
        <v>50</v>
      </c>
      <c r="C19" t="s">
        <v>14</v>
      </c>
      <c r="D19">
        <v>29</v>
      </c>
      <c r="E19" t="s">
        <v>61</v>
      </c>
      <c r="F19" t="s">
        <v>16</v>
      </c>
      <c r="G19" s="1">
        <v>46079</v>
      </c>
      <c r="H19" s="1">
        <v>46083</v>
      </c>
      <c r="I19" t="s">
        <v>40</v>
      </c>
      <c r="J19">
        <v>83381</v>
      </c>
      <c r="K19" t="s">
        <v>37</v>
      </c>
      <c r="L19" t="s">
        <v>25</v>
      </c>
      <c r="M19" t="str">
        <f t="shared" si="0"/>
        <v>Feb</v>
      </c>
    </row>
    <row r="20" spans="1:13" x14ac:dyDescent="0.3">
      <c r="A20" t="s">
        <v>67</v>
      </c>
      <c r="B20" t="s">
        <v>42</v>
      </c>
      <c r="C20" t="s">
        <v>14</v>
      </c>
      <c r="D20">
        <v>38</v>
      </c>
      <c r="E20" t="s">
        <v>53</v>
      </c>
      <c r="F20" t="s">
        <v>23</v>
      </c>
      <c r="G20" s="1">
        <v>46170</v>
      </c>
      <c r="H20" s="1">
        <v>46173</v>
      </c>
      <c r="I20" t="s">
        <v>17</v>
      </c>
      <c r="J20">
        <v>11792</v>
      </c>
      <c r="K20" t="s">
        <v>37</v>
      </c>
      <c r="L20" t="s">
        <v>28</v>
      </c>
      <c r="M20" t="str">
        <f t="shared" si="0"/>
        <v>May</v>
      </c>
    </row>
    <row r="21" spans="1:13" x14ac:dyDescent="0.3">
      <c r="A21" t="s">
        <v>68</v>
      </c>
      <c r="B21" t="s">
        <v>30</v>
      </c>
      <c r="C21" t="s">
        <v>14</v>
      </c>
      <c r="D21">
        <v>48</v>
      </c>
      <c r="E21" t="s">
        <v>45</v>
      </c>
      <c r="F21" t="s">
        <v>16</v>
      </c>
      <c r="G21" s="1">
        <v>46057</v>
      </c>
      <c r="H21" s="1">
        <v>46062</v>
      </c>
      <c r="I21" t="s">
        <v>27</v>
      </c>
      <c r="J21">
        <v>93462</v>
      </c>
      <c r="K21" t="s">
        <v>32</v>
      </c>
      <c r="L21" t="s">
        <v>19</v>
      </c>
      <c r="M21" t="str">
        <f t="shared" si="0"/>
        <v>Feb</v>
      </c>
    </row>
    <row r="22" spans="1:13" x14ac:dyDescent="0.3">
      <c r="A22" t="s">
        <v>69</v>
      </c>
      <c r="B22" t="s">
        <v>65</v>
      </c>
      <c r="C22" t="s">
        <v>22</v>
      </c>
      <c r="D22">
        <v>10</v>
      </c>
      <c r="E22" t="s">
        <v>31</v>
      </c>
      <c r="F22" t="s">
        <v>43</v>
      </c>
      <c r="G22" s="1">
        <v>46163</v>
      </c>
      <c r="H22" s="1">
        <v>46165</v>
      </c>
      <c r="I22" t="s">
        <v>51</v>
      </c>
      <c r="J22">
        <v>116481</v>
      </c>
      <c r="K22" t="s">
        <v>37</v>
      </c>
      <c r="L22" t="s">
        <v>28</v>
      </c>
      <c r="M22" t="str">
        <f t="shared" si="0"/>
        <v>May</v>
      </c>
    </row>
    <row r="23" spans="1:13" x14ac:dyDescent="0.3">
      <c r="A23" t="s">
        <v>70</v>
      </c>
      <c r="B23" t="s">
        <v>39</v>
      </c>
      <c r="C23" t="s">
        <v>22</v>
      </c>
      <c r="D23">
        <v>56</v>
      </c>
      <c r="E23" t="s">
        <v>31</v>
      </c>
      <c r="F23" t="s">
        <v>43</v>
      </c>
      <c r="G23" s="1">
        <v>46069</v>
      </c>
      <c r="H23" s="1">
        <v>46075</v>
      </c>
      <c r="I23" t="s">
        <v>36</v>
      </c>
      <c r="J23">
        <v>86599</v>
      </c>
      <c r="K23" t="s">
        <v>37</v>
      </c>
      <c r="L23" t="s">
        <v>19</v>
      </c>
      <c r="M23" t="str">
        <f t="shared" si="0"/>
        <v>Feb</v>
      </c>
    </row>
    <row r="24" spans="1:13" x14ac:dyDescent="0.3">
      <c r="A24" t="s">
        <v>71</v>
      </c>
      <c r="B24" t="s">
        <v>72</v>
      </c>
      <c r="C24" t="s">
        <v>14</v>
      </c>
      <c r="D24">
        <v>73</v>
      </c>
      <c r="E24" t="s">
        <v>15</v>
      </c>
      <c r="F24" t="s">
        <v>23</v>
      </c>
      <c r="G24" s="1">
        <v>46074</v>
      </c>
      <c r="H24" s="1">
        <v>46078</v>
      </c>
      <c r="I24" t="s">
        <v>40</v>
      </c>
      <c r="J24">
        <v>111208</v>
      </c>
      <c r="K24" t="s">
        <v>32</v>
      </c>
      <c r="L24" t="s">
        <v>25</v>
      </c>
      <c r="M24" t="str">
        <f t="shared" si="0"/>
        <v>Feb</v>
      </c>
    </row>
    <row r="25" spans="1:13" x14ac:dyDescent="0.3">
      <c r="A25" t="s">
        <v>73</v>
      </c>
      <c r="B25" t="s">
        <v>47</v>
      </c>
      <c r="C25" t="s">
        <v>14</v>
      </c>
      <c r="D25">
        <v>30</v>
      </c>
      <c r="E25" t="s">
        <v>53</v>
      </c>
      <c r="F25" t="s">
        <v>54</v>
      </c>
      <c r="G25" s="1">
        <v>46068</v>
      </c>
      <c r="H25" s="1">
        <v>46073</v>
      </c>
      <c r="I25" t="s">
        <v>63</v>
      </c>
      <c r="J25">
        <v>32023</v>
      </c>
      <c r="K25" t="s">
        <v>32</v>
      </c>
      <c r="L25" t="s">
        <v>25</v>
      </c>
      <c r="M25" t="str">
        <f t="shared" si="0"/>
        <v>Feb</v>
      </c>
    </row>
    <row r="26" spans="1:13" x14ac:dyDescent="0.3">
      <c r="A26" t="s">
        <v>74</v>
      </c>
      <c r="B26" t="s">
        <v>50</v>
      </c>
      <c r="C26" t="s">
        <v>22</v>
      </c>
      <c r="D26">
        <v>65</v>
      </c>
      <c r="E26" t="s">
        <v>15</v>
      </c>
      <c r="F26" t="s">
        <v>35</v>
      </c>
      <c r="G26" s="1">
        <v>46196</v>
      </c>
      <c r="H26" s="1">
        <v>46203</v>
      </c>
      <c r="I26" t="s">
        <v>51</v>
      </c>
      <c r="J26">
        <v>60704</v>
      </c>
      <c r="K26" t="s">
        <v>18</v>
      </c>
      <c r="L26" t="s">
        <v>19</v>
      </c>
      <c r="M26" t="str">
        <f t="shared" si="0"/>
        <v>Jun</v>
      </c>
    </row>
    <row r="27" spans="1:13" x14ac:dyDescent="0.3">
      <c r="A27" t="s">
        <v>75</v>
      </c>
      <c r="B27" t="s">
        <v>34</v>
      </c>
      <c r="C27" t="s">
        <v>14</v>
      </c>
      <c r="D27">
        <v>52</v>
      </c>
      <c r="E27" t="s">
        <v>15</v>
      </c>
      <c r="F27" t="s">
        <v>54</v>
      </c>
      <c r="G27" s="1">
        <v>46101</v>
      </c>
      <c r="H27" s="1">
        <v>46104</v>
      </c>
      <c r="I27" t="s">
        <v>51</v>
      </c>
      <c r="J27">
        <v>94698</v>
      </c>
      <c r="K27" t="s">
        <v>18</v>
      </c>
      <c r="L27" t="s">
        <v>25</v>
      </c>
      <c r="M27" t="str">
        <f t="shared" si="0"/>
        <v>Mar</v>
      </c>
    </row>
    <row r="28" spans="1:13" x14ac:dyDescent="0.3">
      <c r="A28" t="s">
        <v>76</v>
      </c>
      <c r="B28" t="s">
        <v>72</v>
      </c>
      <c r="C28" t="s">
        <v>14</v>
      </c>
      <c r="D28">
        <v>44</v>
      </c>
      <c r="E28" t="s">
        <v>45</v>
      </c>
      <c r="F28" t="s">
        <v>16</v>
      </c>
      <c r="G28" s="1">
        <v>46185</v>
      </c>
      <c r="H28" s="1">
        <v>46191</v>
      </c>
      <c r="I28" t="s">
        <v>27</v>
      </c>
      <c r="J28">
        <v>8832</v>
      </c>
      <c r="K28" t="s">
        <v>24</v>
      </c>
      <c r="L28" t="s">
        <v>25</v>
      </c>
      <c r="M28" t="str">
        <f t="shared" si="0"/>
        <v>Jun</v>
      </c>
    </row>
    <row r="29" spans="1:13" x14ac:dyDescent="0.3">
      <c r="A29" t="s">
        <v>77</v>
      </c>
      <c r="B29" t="s">
        <v>30</v>
      </c>
      <c r="C29" t="s">
        <v>14</v>
      </c>
      <c r="D29">
        <v>41</v>
      </c>
      <c r="E29" t="s">
        <v>53</v>
      </c>
      <c r="F29" t="s">
        <v>54</v>
      </c>
      <c r="G29" s="1">
        <v>46074</v>
      </c>
      <c r="H29" s="1">
        <v>46084</v>
      </c>
      <c r="I29" t="s">
        <v>40</v>
      </c>
      <c r="J29">
        <v>5470</v>
      </c>
      <c r="K29" t="s">
        <v>18</v>
      </c>
      <c r="L29" t="s">
        <v>28</v>
      </c>
      <c r="M29" t="str">
        <f t="shared" si="0"/>
        <v>Feb</v>
      </c>
    </row>
    <row r="30" spans="1:13" x14ac:dyDescent="0.3">
      <c r="A30" t="s">
        <v>78</v>
      </c>
      <c r="B30" t="s">
        <v>79</v>
      </c>
      <c r="C30" t="s">
        <v>14</v>
      </c>
      <c r="D30">
        <v>42</v>
      </c>
      <c r="E30" t="s">
        <v>48</v>
      </c>
      <c r="F30" t="s">
        <v>23</v>
      </c>
      <c r="G30" s="1">
        <v>46024</v>
      </c>
      <c r="H30" s="1">
        <v>46028</v>
      </c>
      <c r="I30" t="s">
        <v>36</v>
      </c>
      <c r="J30">
        <v>12033</v>
      </c>
      <c r="K30" t="s">
        <v>32</v>
      </c>
      <c r="L30" t="s">
        <v>28</v>
      </c>
      <c r="M30" t="str">
        <f t="shared" si="0"/>
        <v>Jan</v>
      </c>
    </row>
    <row r="31" spans="1:13" x14ac:dyDescent="0.3">
      <c r="A31" t="s">
        <v>80</v>
      </c>
      <c r="B31" t="s">
        <v>30</v>
      </c>
      <c r="C31" t="s">
        <v>14</v>
      </c>
      <c r="D31">
        <v>55</v>
      </c>
      <c r="E31" t="s">
        <v>48</v>
      </c>
      <c r="F31" t="s">
        <v>16</v>
      </c>
      <c r="G31" s="1">
        <v>46160</v>
      </c>
      <c r="H31" s="1">
        <v>46170</v>
      </c>
      <c r="I31" t="s">
        <v>63</v>
      </c>
      <c r="J31">
        <v>98266</v>
      </c>
      <c r="K31" t="s">
        <v>24</v>
      </c>
      <c r="L31" t="s">
        <v>25</v>
      </c>
      <c r="M31" t="str">
        <f t="shared" si="0"/>
        <v>May</v>
      </c>
    </row>
    <row r="32" spans="1:13" x14ac:dyDescent="0.3">
      <c r="A32" t="s">
        <v>81</v>
      </c>
      <c r="B32" t="s">
        <v>82</v>
      </c>
      <c r="C32" t="s">
        <v>14</v>
      </c>
      <c r="D32">
        <v>40</v>
      </c>
      <c r="E32" t="s">
        <v>45</v>
      </c>
      <c r="F32" t="s">
        <v>16</v>
      </c>
      <c r="G32" s="1">
        <v>46074</v>
      </c>
      <c r="H32" s="1">
        <v>46077</v>
      </c>
      <c r="I32" t="s">
        <v>17</v>
      </c>
      <c r="J32">
        <v>37156</v>
      </c>
      <c r="K32" t="s">
        <v>37</v>
      </c>
      <c r="L32" t="s">
        <v>19</v>
      </c>
      <c r="M32" t="str">
        <f t="shared" si="0"/>
        <v>Feb</v>
      </c>
    </row>
    <row r="33" spans="1:13" x14ac:dyDescent="0.3">
      <c r="A33" t="s">
        <v>83</v>
      </c>
      <c r="B33" t="s">
        <v>50</v>
      </c>
      <c r="C33" t="s">
        <v>14</v>
      </c>
      <c r="D33">
        <v>39</v>
      </c>
      <c r="E33" t="s">
        <v>45</v>
      </c>
      <c r="F33" t="s">
        <v>43</v>
      </c>
      <c r="G33" s="1">
        <v>46067</v>
      </c>
      <c r="H33" s="1">
        <v>46075</v>
      </c>
      <c r="I33" t="s">
        <v>36</v>
      </c>
      <c r="J33">
        <v>118327</v>
      </c>
      <c r="K33" t="s">
        <v>32</v>
      </c>
      <c r="L33" t="s">
        <v>25</v>
      </c>
      <c r="M33" t="str">
        <f t="shared" si="0"/>
        <v>Feb</v>
      </c>
    </row>
    <row r="34" spans="1:13" x14ac:dyDescent="0.3">
      <c r="A34" t="s">
        <v>84</v>
      </c>
      <c r="B34" t="s">
        <v>34</v>
      </c>
      <c r="C34" t="s">
        <v>22</v>
      </c>
      <c r="D34">
        <v>66</v>
      </c>
      <c r="E34" t="s">
        <v>53</v>
      </c>
      <c r="F34" t="s">
        <v>16</v>
      </c>
      <c r="G34" s="1">
        <v>46135</v>
      </c>
      <c r="H34" s="1">
        <v>46139</v>
      </c>
      <c r="I34" t="s">
        <v>63</v>
      </c>
      <c r="J34">
        <v>116745</v>
      </c>
      <c r="K34" t="s">
        <v>18</v>
      </c>
      <c r="L34" t="s">
        <v>28</v>
      </c>
      <c r="M34" t="str">
        <f t="shared" si="0"/>
        <v>Apr</v>
      </c>
    </row>
    <row r="35" spans="1:13" x14ac:dyDescent="0.3">
      <c r="A35" t="s">
        <v>85</v>
      </c>
      <c r="B35" t="s">
        <v>82</v>
      </c>
      <c r="C35" t="s">
        <v>22</v>
      </c>
      <c r="D35">
        <v>33</v>
      </c>
      <c r="E35" t="s">
        <v>15</v>
      </c>
      <c r="F35" t="s">
        <v>16</v>
      </c>
      <c r="G35" s="1">
        <v>46087</v>
      </c>
      <c r="H35" s="1">
        <v>46096</v>
      </c>
      <c r="I35" t="s">
        <v>40</v>
      </c>
      <c r="J35">
        <v>43186</v>
      </c>
      <c r="K35" t="s">
        <v>32</v>
      </c>
      <c r="L35" t="s">
        <v>19</v>
      </c>
      <c r="M35" t="str">
        <f t="shared" si="0"/>
        <v>Mar</v>
      </c>
    </row>
    <row r="36" spans="1:13" x14ac:dyDescent="0.3">
      <c r="A36" t="s">
        <v>86</v>
      </c>
      <c r="B36" t="s">
        <v>65</v>
      </c>
      <c r="C36" t="s">
        <v>22</v>
      </c>
      <c r="D36">
        <v>69</v>
      </c>
      <c r="E36" t="s">
        <v>31</v>
      </c>
      <c r="F36" t="s">
        <v>16</v>
      </c>
      <c r="G36" s="1">
        <v>46141</v>
      </c>
      <c r="H36" s="1">
        <v>46143</v>
      </c>
      <c r="I36" t="s">
        <v>36</v>
      </c>
      <c r="J36">
        <v>42149</v>
      </c>
      <c r="K36" t="s">
        <v>24</v>
      </c>
      <c r="L36" t="s">
        <v>28</v>
      </c>
      <c r="M36" t="str">
        <f t="shared" si="0"/>
        <v>Apr</v>
      </c>
    </row>
    <row r="37" spans="1:13" x14ac:dyDescent="0.3">
      <c r="A37" t="s">
        <v>87</v>
      </c>
      <c r="B37" t="s">
        <v>79</v>
      </c>
      <c r="C37" t="s">
        <v>14</v>
      </c>
      <c r="D37">
        <v>27</v>
      </c>
      <c r="E37" t="s">
        <v>48</v>
      </c>
      <c r="F37" t="s">
        <v>54</v>
      </c>
      <c r="G37" s="1">
        <v>46177</v>
      </c>
      <c r="H37" s="1">
        <v>46181</v>
      </c>
      <c r="I37" t="s">
        <v>63</v>
      </c>
      <c r="J37">
        <v>48542</v>
      </c>
      <c r="K37" t="s">
        <v>24</v>
      </c>
      <c r="L37" t="s">
        <v>25</v>
      </c>
      <c r="M37" t="str">
        <f t="shared" si="0"/>
        <v>Jun</v>
      </c>
    </row>
    <row r="38" spans="1:13" x14ac:dyDescent="0.3">
      <c r="A38" t="s">
        <v>88</v>
      </c>
      <c r="B38" t="s">
        <v>79</v>
      </c>
      <c r="C38" t="s">
        <v>22</v>
      </c>
      <c r="D38">
        <v>53</v>
      </c>
      <c r="E38" t="s">
        <v>61</v>
      </c>
      <c r="F38" t="s">
        <v>23</v>
      </c>
      <c r="G38" s="1">
        <v>46128</v>
      </c>
      <c r="H38" s="1">
        <v>46137</v>
      </c>
      <c r="I38" t="s">
        <v>40</v>
      </c>
      <c r="J38">
        <v>56600</v>
      </c>
      <c r="K38" t="s">
        <v>18</v>
      </c>
      <c r="L38" t="s">
        <v>19</v>
      </c>
      <c r="M38" t="str">
        <f t="shared" si="0"/>
        <v>Apr</v>
      </c>
    </row>
    <row r="39" spans="1:13" x14ac:dyDescent="0.3">
      <c r="A39" t="s">
        <v>89</v>
      </c>
      <c r="B39" t="s">
        <v>60</v>
      </c>
      <c r="C39" t="s">
        <v>22</v>
      </c>
      <c r="D39">
        <v>71</v>
      </c>
      <c r="E39" t="s">
        <v>61</v>
      </c>
      <c r="F39" t="s">
        <v>54</v>
      </c>
      <c r="G39" s="1">
        <v>46196</v>
      </c>
      <c r="H39" s="1">
        <v>46204</v>
      </c>
      <c r="I39" t="s">
        <v>36</v>
      </c>
      <c r="J39">
        <v>29184</v>
      </c>
      <c r="K39" t="s">
        <v>37</v>
      </c>
      <c r="L39" t="s">
        <v>28</v>
      </c>
      <c r="M39" t="str">
        <f t="shared" si="0"/>
        <v>Jun</v>
      </c>
    </row>
    <row r="40" spans="1:13" x14ac:dyDescent="0.3">
      <c r="A40" t="s">
        <v>90</v>
      </c>
      <c r="B40" t="s">
        <v>34</v>
      </c>
      <c r="C40" t="s">
        <v>22</v>
      </c>
      <c r="D40">
        <v>11</v>
      </c>
      <c r="E40" t="s">
        <v>31</v>
      </c>
      <c r="F40" t="s">
        <v>23</v>
      </c>
      <c r="G40" s="1">
        <v>46123</v>
      </c>
      <c r="H40" s="1">
        <v>46124</v>
      </c>
      <c r="I40" t="s">
        <v>51</v>
      </c>
      <c r="J40">
        <v>116401</v>
      </c>
      <c r="K40" t="s">
        <v>32</v>
      </c>
      <c r="L40" t="s">
        <v>25</v>
      </c>
      <c r="M40" t="str">
        <f t="shared" si="0"/>
        <v>Apr</v>
      </c>
    </row>
    <row r="41" spans="1:13" x14ac:dyDescent="0.3">
      <c r="A41" t="s">
        <v>91</v>
      </c>
      <c r="B41" t="s">
        <v>39</v>
      </c>
      <c r="C41" t="s">
        <v>14</v>
      </c>
      <c r="D41">
        <v>53</v>
      </c>
      <c r="E41" t="s">
        <v>53</v>
      </c>
      <c r="F41" t="s">
        <v>43</v>
      </c>
      <c r="G41" s="1">
        <v>46044</v>
      </c>
      <c r="H41" s="1">
        <v>46054</v>
      </c>
      <c r="I41" t="s">
        <v>17</v>
      </c>
      <c r="J41">
        <v>15506</v>
      </c>
      <c r="K41" t="s">
        <v>37</v>
      </c>
      <c r="L41" t="s">
        <v>19</v>
      </c>
      <c r="M41" t="str">
        <f t="shared" si="0"/>
        <v>Jan</v>
      </c>
    </row>
    <row r="42" spans="1:13" x14ac:dyDescent="0.3">
      <c r="A42" t="s">
        <v>92</v>
      </c>
      <c r="B42" t="s">
        <v>39</v>
      </c>
      <c r="C42" t="s">
        <v>22</v>
      </c>
      <c r="D42">
        <v>21</v>
      </c>
      <c r="E42" t="s">
        <v>53</v>
      </c>
      <c r="F42" t="s">
        <v>16</v>
      </c>
      <c r="G42" s="1">
        <v>46200</v>
      </c>
      <c r="H42" s="1">
        <v>46202</v>
      </c>
      <c r="I42" t="s">
        <v>36</v>
      </c>
      <c r="J42">
        <v>47008</v>
      </c>
      <c r="K42" t="s">
        <v>18</v>
      </c>
      <c r="L42" t="s">
        <v>25</v>
      </c>
      <c r="M42" t="str">
        <f t="shared" si="0"/>
        <v>Jun</v>
      </c>
    </row>
    <row r="43" spans="1:13" x14ac:dyDescent="0.3">
      <c r="A43" t="s">
        <v>93</v>
      </c>
      <c r="B43" t="s">
        <v>21</v>
      </c>
      <c r="C43" t="s">
        <v>14</v>
      </c>
      <c r="D43">
        <v>8</v>
      </c>
      <c r="E43" t="s">
        <v>61</v>
      </c>
      <c r="F43" t="s">
        <v>23</v>
      </c>
      <c r="G43" s="1">
        <v>46031</v>
      </c>
      <c r="H43" s="1">
        <v>46040</v>
      </c>
      <c r="I43" t="s">
        <v>36</v>
      </c>
      <c r="J43">
        <v>20460</v>
      </c>
      <c r="K43" t="s">
        <v>32</v>
      </c>
      <c r="L43" t="s">
        <v>28</v>
      </c>
      <c r="M43" t="str">
        <f t="shared" si="0"/>
        <v>Jan</v>
      </c>
    </row>
    <row r="44" spans="1:13" x14ac:dyDescent="0.3">
      <c r="A44" t="s">
        <v>94</v>
      </c>
      <c r="B44" t="s">
        <v>72</v>
      </c>
      <c r="C44" t="s">
        <v>22</v>
      </c>
      <c r="D44">
        <v>31</v>
      </c>
      <c r="E44" t="s">
        <v>31</v>
      </c>
      <c r="F44" t="s">
        <v>54</v>
      </c>
      <c r="G44" s="1">
        <v>46183</v>
      </c>
      <c r="H44" s="1">
        <v>46192</v>
      </c>
      <c r="I44" t="s">
        <v>36</v>
      </c>
      <c r="J44">
        <v>30453</v>
      </c>
      <c r="K44" t="s">
        <v>24</v>
      </c>
      <c r="L44" t="s">
        <v>25</v>
      </c>
      <c r="M44" t="str">
        <f t="shared" si="0"/>
        <v>Jun</v>
      </c>
    </row>
    <row r="45" spans="1:13" x14ac:dyDescent="0.3">
      <c r="A45" t="s">
        <v>95</v>
      </c>
      <c r="B45" t="s">
        <v>42</v>
      </c>
      <c r="C45" t="s">
        <v>14</v>
      </c>
      <c r="D45">
        <v>77</v>
      </c>
      <c r="E45" t="s">
        <v>61</v>
      </c>
      <c r="F45" t="s">
        <v>43</v>
      </c>
      <c r="G45" s="1">
        <v>46034</v>
      </c>
      <c r="H45" s="1">
        <v>46036</v>
      </c>
      <c r="I45" t="s">
        <v>63</v>
      </c>
      <c r="J45">
        <v>23420</v>
      </c>
      <c r="K45" t="s">
        <v>24</v>
      </c>
      <c r="L45" t="s">
        <v>19</v>
      </c>
      <c r="M45" t="str">
        <f t="shared" si="0"/>
        <v>Jan</v>
      </c>
    </row>
    <row r="46" spans="1:13" x14ac:dyDescent="0.3">
      <c r="A46" t="s">
        <v>96</v>
      </c>
      <c r="B46" t="s">
        <v>97</v>
      </c>
      <c r="C46" t="s">
        <v>14</v>
      </c>
      <c r="D46">
        <v>76</v>
      </c>
      <c r="E46" t="s">
        <v>15</v>
      </c>
      <c r="F46" t="s">
        <v>23</v>
      </c>
      <c r="G46" s="1">
        <v>46134</v>
      </c>
      <c r="H46" s="1">
        <v>46142</v>
      </c>
      <c r="I46" t="s">
        <v>36</v>
      </c>
      <c r="J46">
        <v>102526</v>
      </c>
      <c r="K46" t="s">
        <v>32</v>
      </c>
      <c r="L46" t="s">
        <v>19</v>
      </c>
      <c r="M46" t="str">
        <f t="shared" si="0"/>
        <v>Apr</v>
      </c>
    </row>
    <row r="47" spans="1:13" x14ac:dyDescent="0.3">
      <c r="A47" t="s">
        <v>98</v>
      </c>
      <c r="B47" t="s">
        <v>65</v>
      </c>
      <c r="C47" t="s">
        <v>22</v>
      </c>
      <c r="D47">
        <v>26</v>
      </c>
      <c r="E47" t="s">
        <v>61</v>
      </c>
      <c r="F47" t="s">
        <v>54</v>
      </c>
      <c r="G47" s="1">
        <v>46199</v>
      </c>
      <c r="H47" s="1">
        <v>46202</v>
      </c>
      <c r="I47" t="s">
        <v>51</v>
      </c>
      <c r="J47">
        <v>49393</v>
      </c>
      <c r="K47" t="s">
        <v>24</v>
      </c>
      <c r="L47" t="s">
        <v>25</v>
      </c>
      <c r="M47" t="str">
        <f t="shared" si="0"/>
        <v>Jun</v>
      </c>
    </row>
    <row r="48" spans="1:13" x14ac:dyDescent="0.3">
      <c r="A48" t="s">
        <v>99</v>
      </c>
      <c r="B48" t="s">
        <v>72</v>
      </c>
      <c r="C48" t="s">
        <v>14</v>
      </c>
      <c r="D48">
        <v>5</v>
      </c>
      <c r="E48" t="s">
        <v>45</v>
      </c>
      <c r="F48" t="s">
        <v>23</v>
      </c>
      <c r="G48" s="1">
        <v>46195</v>
      </c>
      <c r="H48" s="1">
        <v>46197</v>
      </c>
      <c r="I48" t="s">
        <v>40</v>
      </c>
      <c r="J48">
        <v>117433</v>
      </c>
      <c r="K48" t="s">
        <v>24</v>
      </c>
      <c r="L48" t="s">
        <v>28</v>
      </c>
      <c r="M48" t="str">
        <f t="shared" si="0"/>
        <v>Jun</v>
      </c>
    </row>
    <row r="49" spans="1:13" x14ac:dyDescent="0.3">
      <c r="A49" t="s">
        <v>100</v>
      </c>
      <c r="B49" t="s">
        <v>47</v>
      </c>
      <c r="C49" t="s">
        <v>14</v>
      </c>
      <c r="D49">
        <v>17</v>
      </c>
      <c r="E49" t="s">
        <v>61</v>
      </c>
      <c r="F49" t="s">
        <v>54</v>
      </c>
      <c r="G49" s="1">
        <v>46083</v>
      </c>
      <c r="H49" s="1">
        <v>46087</v>
      </c>
      <c r="I49" t="s">
        <v>36</v>
      </c>
      <c r="J49">
        <v>75967</v>
      </c>
      <c r="K49" t="s">
        <v>24</v>
      </c>
      <c r="L49" t="s">
        <v>25</v>
      </c>
      <c r="M49" t="str">
        <f t="shared" si="0"/>
        <v>Mar</v>
      </c>
    </row>
    <row r="50" spans="1:13" x14ac:dyDescent="0.3">
      <c r="A50" t="s">
        <v>101</v>
      </c>
      <c r="B50" t="s">
        <v>57</v>
      </c>
      <c r="C50" t="s">
        <v>22</v>
      </c>
      <c r="D50">
        <v>58</v>
      </c>
      <c r="E50" t="s">
        <v>45</v>
      </c>
      <c r="F50" t="s">
        <v>16</v>
      </c>
      <c r="G50" s="1">
        <v>46159</v>
      </c>
      <c r="H50" s="1">
        <v>46163</v>
      </c>
      <c r="I50" t="s">
        <v>27</v>
      </c>
      <c r="J50">
        <v>57122</v>
      </c>
      <c r="K50" t="s">
        <v>18</v>
      </c>
      <c r="L50" t="s">
        <v>19</v>
      </c>
      <c r="M50" t="str">
        <f t="shared" si="0"/>
        <v>May</v>
      </c>
    </row>
    <row r="51" spans="1:13" x14ac:dyDescent="0.3">
      <c r="A51" t="s">
        <v>102</v>
      </c>
      <c r="B51" t="s">
        <v>60</v>
      </c>
      <c r="C51" t="s">
        <v>22</v>
      </c>
      <c r="D51">
        <v>73</v>
      </c>
      <c r="E51" t="s">
        <v>15</v>
      </c>
      <c r="F51" t="s">
        <v>35</v>
      </c>
      <c r="G51" s="1">
        <v>46127</v>
      </c>
      <c r="H51" s="1">
        <v>46131</v>
      </c>
      <c r="I51" t="s">
        <v>27</v>
      </c>
      <c r="J51">
        <v>56670</v>
      </c>
      <c r="K51" t="s">
        <v>24</v>
      </c>
      <c r="L51" t="s">
        <v>19</v>
      </c>
      <c r="M51" t="str">
        <f t="shared" si="0"/>
        <v>Apr</v>
      </c>
    </row>
    <row r="52" spans="1:13" x14ac:dyDescent="0.3">
      <c r="A52" t="s">
        <v>103</v>
      </c>
      <c r="B52" t="s">
        <v>82</v>
      </c>
      <c r="C52" t="s">
        <v>22</v>
      </c>
      <c r="D52">
        <v>72</v>
      </c>
      <c r="E52" t="s">
        <v>45</v>
      </c>
      <c r="F52" t="s">
        <v>54</v>
      </c>
      <c r="G52" s="1">
        <v>46050</v>
      </c>
      <c r="H52" s="1">
        <v>46051</v>
      </c>
      <c r="I52" t="s">
        <v>36</v>
      </c>
      <c r="J52">
        <v>118099</v>
      </c>
      <c r="K52" t="s">
        <v>24</v>
      </c>
      <c r="L52" t="s">
        <v>28</v>
      </c>
      <c r="M52" t="str">
        <f t="shared" si="0"/>
        <v>Jan</v>
      </c>
    </row>
    <row r="53" spans="1:13" x14ac:dyDescent="0.3">
      <c r="A53" t="s">
        <v>104</v>
      </c>
      <c r="B53" t="s">
        <v>21</v>
      </c>
      <c r="C53" t="s">
        <v>22</v>
      </c>
      <c r="D53">
        <v>36</v>
      </c>
      <c r="E53" t="s">
        <v>48</v>
      </c>
      <c r="F53" t="s">
        <v>43</v>
      </c>
      <c r="G53" s="1">
        <v>46102</v>
      </c>
      <c r="H53" s="1">
        <v>46107</v>
      </c>
      <c r="I53" t="s">
        <v>17</v>
      </c>
      <c r="J53">
        <v>82042</v>
      </c>
      <c r="K53" t="s">
        <v>24</v>
      </c>
      <c r="L53" t="s">
        <v>28</v>
      </c>
      <c r="M53" t="str">
        <f t="shared" si="0"/>
        <v>Mar</v>
      </c>
    </row>
    <row r="54" spans="1:13" x14ac:dyDescent="0.3">
      <c r="A54" t="s">
        <v>105</v>
      </c>
      <c r="B54" t="s">
        <v>13</v>
      </c>
      <c r="C54" t="s">
        <v>22</v>
      </c>
      <c r="D54">
        <v>62</v>
      </c>
      <c r="E54" t="s">
        <v>15</v>
      </c>
      <c r="F54" t="s">
        <v>43</v>
      </c>
      <c r="G54" s="1">
        <v>46101</v>
      </c>
      <c r="H54" s="1">
        <v>46108</v>
      </c>
      <c r="I54" t="s">
        <v>27</v>
      </c>
      <c r="J54">
        <v>59385</v>
      </c>
      <c r="K54" t="s">
        <v>24</v>
      </c>
      <c r="L54" t="s">
        <v>19</v>
      </c>
      <c r="M54" t="str">
        <f t="shared" si="0"/>
        <v>Mar</v>
      </c>
    </row>
    <row r="55" spans="1:13" x14ac:dyDescent="0.3">
      <c r="A55" t="s">
        <v>106</v>
      </c>
      <c r="B55" t="s">
        <v>57</v>
      </c>
      <c r="C55" t="s">
        <v>14</v>
      </c>
      <c r="D55">
        <v>40</v>
      </c>
      <c r="E55" t="s">
        <v>53</v>
      </c>
      <c r="F55" t="s">
        <v>54</v>
      </c>
      <c r="G55" s="1">
        <v>46164</v>
      </c>
      <c r="H55" s="1">
        <v>46174</v>
      </c>
      <c r="I55" t="s">
        <v>40</v>
      </c>
      <c r="J55">
        <v>30450</v>
      </c>
      <c r="K55" t="s">
        <v>32</v>
      </c>
      <c r="L55" t="s">
        <v>28</v>
      </c>
      <c r="M55" t="str">
        <f t="shared" si="0"/>
        <v>May</v>
      </c>
    </row>
    <row r="56" spans="1:13" x14ac:dyDescent="0.3">
      <c r="A56" t="s">
        <v>107</v>
      </c>
      <c r="B56" t="s">
        <v>60</v>
      </c>
      <c r="C56" t="s">
        <v>14</v>
      </c>
      <c r="D56">
        <v>48</v>
      </c>
      <c r="E56" t="s">
        <v>15</v>
      </c>
      <c r="F56" t="s">
        <v>35</v>
      </c>
      <c r="G56" s="1">
        <v>46142</v>
      </c>
      <c r="H56" s="1">
        <v>46144</v>
      </c>
      <c r="I56" t="s">
        <v>36</v>
      </c>
      <c r="J56">
        <v>26063</v>
      </c>
      <c r="K56" t="s">
        <v>18</v>
      </c>
      <c r="L56" t="s">
        <v>25</v>
      </c>
      <c r="M56" t="str">
        <f t="shared" si="0"/>
        <v>Apr</v>
      </c>
    </row>
    <row r="57" spans="1:13" x14ac:dyDescent="0.3">
      <c r="A57" t="s">
        <v>108</v>
      </c>
      <c r="B57" t="s">
        <v>57</v>
      </c>
      <c r="C57" t="s">
        <v>22</v>
      </c>
      <c r="D57">
        <v>23</v>
      </c>
      <c r="E57" t="s">
        <v>15</v>
      </c>
      <c r="F57" t="s">
        <v>54</v>
      </c>
      <c r="G57" s="1">
        <v>46066</v>
      </c>
      <c r="H57" s="1">
        <v>46076</v>
      </c>
      <c r="I57" t="s">
        <v>36</v>
      </c>
      <c r="J57">
        <v>93597</v>
      </c>
      <c r="K57" t="s">
        <v>32</v>
      </c>
      <c r="L57" t="s">
        <v>28</v>
      </c>
      <c r="M57" t="str">
        <f t="shared" si="0"/>
        <v>Feb</v>
      </c>
    </row>
    <row r="58" spans="1:13" x14ac:dyDescent="0.3">
      <c r="A58" t="s">
        <v>109</v>
      </c>
      <c r="B58" t="s">
        <v>60</v>
      </c>
      <c r="C58" t="s">
        <v>14</v>
      </c>
      <c r="D58">
        <v>34</v>
      </c>
      <c r="E58" t="s">
        <v>45</v>
      </c>
      <c r="F58" t="s">
        <v>54</v>
      </c>
      <c r="G58" s="1">
        <v>46185</v>
      </c>
      <c r="H58" s="1">
        <v>46192</v>
      </c>
      <c r="I58" t="s">
        <v>51</v>
      </c>
      <c r="J58">
        <v>110172</v>
      </c>
      <c r="K58" t="s">
        <v>37</v>
      </c>
      <c r="L58" t="s">
        <v>19</v>
      </c>
      <c r="M58" t="str">
        <f t="shared" si="0"/>
        <v>Jun</v>
      </c>
    </row>
    <row r="59" spans="1:13" x14ac:dyDescent="0.3">
      <c r="A59" t="s">
        <v>110</v>
      </c>
      <c r="B59" t="s">
        <v>34</v>
      </c>
      <c r="C59" t="s">
        <v>22</v>
      </c>
      <c r="D59">
        <v>80</v>
      </c>
      <c r="E59" t="s">
        <v>31</v>
      </c>
      <c r="F59" t="s">
        <v>35</v>
      </c>
      <c r="G59" s="1">
        <v>46097</v>
      </c>
      <c r="H59" s="1">
        <v>46102</v>
      </c>
      <c r="I59" t="s">
        <v>63</v>
      </c>
      <c r="J59">
        <v>95185</v>
      </c>
      <c r="K59" t="s">
        <v>18</v>
      </c>
      <c r="L59" t="s">
        <v>19</v>
      </c>
      <c r="M59" t="str">
        <f t="shared" si="0"/>
        <v>Mar</v>
      </c>
    </row>
    <row r="60" spans="1:13" x14ac:dyDescent="0.3">
      <c r="A60" t="s">
        <v>111</v>
      </c>
      <c r="B60" t="s">
        <v>50</v>
      </c>
      <c r="C60" t="s">
        <v>14</v>
      </c>
      <c r="D60">
        <v>63</v>
      </c>
      <c r="E60" t="s">
        <v>15</v>
      </c>
      <c r="F60" t="s">
        <v>54</v>
      </c>
      <c r="G60" s="1">
        <v>46047</v>
      </c>
      <c r="H60" s="1">
        <v>46054</v>
      </c>
      <c r="I60" t="s">
        <v>27</v>
      </c>
      <c r="J60">
        <v>95879</v>
      </c>
      <c r="K60" t="s">
        <v>24</v>
      </c>
      <c r="L60" t="s">
        <v>19</v>
      </c>
      <c r="M60" t="str">
        <f t="shared" si="0"/>
        <v>Jan</v>
      </c>
    </row>
    <row r="61" spans="1:13" x14ac:dyDescent="0.3">
      <c r="A61" t="s">
        <v>112</v>
      </c>
      <c r="B61" t="s">
        <v>47</v>
      </c>
      <c r="C61" t="s">
        <v>22</v>
      </c>
      <c r="D61">
        <v>42</v>
      </c>
      <c r="E61" t="s">
        <v>61</v>
      </c>
      <c r="F61" t="s">
        <v>23</v>
      </c>
      <c r="G61" s="1">
        <v>46055</v>
      </c>
      <c r="H61" s="1">
        <v>46060</v>
      </c>
      <c r="I61" t="s">
        <v>63</v>
      </c>
      <c r="J61">
        <v>63832</v>
      </c>
      <c r="K61" t="s">
        <v>24</v>
      </c>
      <c r="L61" t="s">
        <v>28</v>
      </c>
      <c r="M61" t="str">
        <f t="shared" si="0"/>
        <v>Feb</v>
      </c>
    </row>
    <row r="62" spans="1:13" x14ac:dyDescent="0.3">
      <c r="A62" t="s">
        <v>113</v>
      </c>
      <c r="B62" t="s">
        <v>34</v>
      </c>
      <c r="C62" t="s">
        <v>14</v>
      </c>
      <c r="D62">
        <v>59</v>
      </c>
      <c r="E62" t="s">
        <v>48</v>
      </c>
      <c r="F62" t="s">
        <v>16</v>
      </c>
      <c r="G62" s="1">
        <v>46112</v>
      </c>
      <c r="H62" s="1">
        <v>46120</v>
      </c>
      <c r="I62" t="s">
        <v>63</v>
      </c>
      <c r="J62">
        <v>72239</v>
      </c>
      <c r="K62" t="s">
        <v>18</v>
      </c>
      <c r="L62" t="s">
        <v>25</v>
      </c>
      <c r="M62" t="str">
        <f t="shared" si="0"/>
        <v>Mar</v>
      </c>
    </row>
    <row r="63" spans="1:13" x14ac:dyDescent="0.3">
      <c r="A63" t="s">
        <v>114</v>
      </c>
      <c r="B63" t="s">
        <v>72</v>
      </c>
      <c r="C63" t="s">
        <v>14</v>
      </c>
      <c r="D63">
        <v>9</v>
      </c>
      <c r="E63" t="s">
        <v>53</v>
      </c>
      <c r="F63" t="s">
        <v>35</v>
      </c>
      <c r="G63" s="1">
        <v>46027</v>
      </c>
      <c r="H63" s="1">
        <v>46030</v>
      </c>
      <c r="I63" t="s">
        <v>36</v>
      </c>
      <c r="J63">
        <v>8375</v>
      </c>
      <c r="K63" t="s">
        <v>32</v>
      </c>
      <c r="L63" t="s">
        <v>28</v>
      </c>
      <c r="M63" t="str">
        <f t="shared" si="0"/>
        <v>Jan</v>
      </c>
    </row>
    <row r="64" spans="1:13" x14ac:dyDescent="0.3">
      <c r="A64" t="s">
        <v>115</v>
      </c>
      <c r="B64" t="s">
        <v>39</v>
      </c>
      <c r="C64" t="s">
        <v>14</v>
      </c>
      <c r="D64">
        <v>45</v>
      </c>
      <c r="E64" t="s">
        <v>45</v>
      </c>
      <c r="F64" t="s">
        <v>54</v>
      </c>
      <c r="G64" s="1">
        <v>46152</v>
      </c>
      <c r="H64" s="1">
        <v>46154</v>
      </c>
      <c r="I64" t="s">
        <v>40</v>
      </c>
      <c r="J64">
        <v>79121</v>
      </c>
      <c r="K64" t="s">
        <v>24</v>
      </c>
      <c r="L64" t="s">
        <v>28</v>
      </c>
      <c r="M64" t="str">
        <f t="shared" si="0"/>
        <v>May</v>
      </c>
    </row>
    <row r="65" spans="1:13" x14ac:dyDescent="0.3">
      <c r="A65" t="s">
        <v>116</v>
      </c>
      <c r="B65" t="s">
        <v>13</v>
      </c>
      <c r="C65" t="s">
        <v>22</v>
      </c>
      <c r="D65">
        <v>14</v>
      </c>
      <c r="E65" t="s">
        <v>61</v>
      </c>
      <c r="F65" t="s">
        <v>23</v>
      </c>
      <c r="G65" s="1">
        <v>46107</v>
      </c>
      <c r="H65" s="1">
        <v>46111</v>
      </c>
      <c r="I65" t="s">
        <v>27</v>
      </c>
      <c r="J65">
        <v>29794</v>
      </c>
      <c r="K65" t="s">
        <v>24</v>
      </c>
      <c r="L65" t="s">
        <v>28</v>
      </c>
      <c r="M65" t="str">
        <f t="shared" si="0"/>
        <v>Mar</v>
      </c>
    </row>
    <row r="66" spans="1:13" x14ac:dyDescent="0.3">
      <c r="A66" t="s">
        <v>117</v>
      </c>
      <c r="B66" t="s">
        <v>39</v>
      </c>
      <c r="C66" t="s">
        <v>22</v>
      </c>
      <c r="D66">
        <v>56</v>
      </c>
      <c r="E66" t="s">
        <v>15</v>
      </c>
      <c r="F66" t="s">
        <v>35</v>
      </c>
      <c r="G66" s="1">
        <v>46117</v>
      </c>
      <c r="H66" s="1">
        <v>46127</v>
      </c>
      <c r="I66" t="s">
        <v>36</v>
      </c>
      <c r="J66">
        <v>111836</v>
      </c>
      <c r="K66" t="s">
        <v>32</v>
      </c>
      <c r="L66" t="s">
        <v>19</v>
      </c>
      <c r="M66" t="str">
        <f t="shared" si="0"/>
        <v>Apr</v>
      </c>
    </row>
    <row r="67" spans="1:13" x14ac:dyDescent="0.3">
      <c r="A67" t="s">
        <v>118</v>
      </c>
      <c r="B67" t="s">
        <v>42</v>
      </c>
      <c r="C67" t="s">
        <v>22</v>
      </c>
      <c r="D67">
        <v>52</v>
      </c>
      <c r="E67" t="s">
        <v>15</v>
      </c>
      <c r="F67" t="s">
        <v>16</v>
      </c>
      <c r="G67" s="1">
        <v>46056</v>
      </c>
      <c r="H67" s="1">
        <v>46065</v>
      </c>
      <c r="I67" t="s">
        <v>51</v>
      </c>
      <c r="J67">
        <v>26225</v>
      </c>
      <c r="K67" t="s">
        <v>24</v>
      </c>
      <c r="L67" t="s">
        <v>25</v>
      </c>
      <c r="M67" t="str">
        <f t="shared" ref="M67:M130" si="1">TEXT(G67,"mmm")</f>
        <v>Feb</v>
      </c>
    </row>
    <row r="68" spans="1:13" x14ac:dyDescent="0.3">
      <c r="A68" t="s">
        <v>119</v>
      </c>
      <c r="B68" t="s">
        <v>42</v>
      </c>
      <c r="C68" t="s">
        <v>14</v>
      </c>
      <c r="D68">
        <v>39</v>
      </c>
      <c r="E68" t="s">
        <v>48</v>
      </c>
      <c r="F68" t="s">
        <v>16</v>
      </c>
      <c r="G68" s="1">
        <v>46043</v>
      </c>
      <c r="H68" s="1">
        <v>46047</v>
      </c>
      <c r="I68" t="s">
        <v>51</v>
      </c>
      <c r="J68">
        <v>54166</v>
      </c>
      <c r="K68" t="s">
        <v>24</v>
      </c>
      <c r="L68" t="s">
        <v>19</v>
      </c>
      <c r="M68" t="str">
        <f t="shared" si="1"/>
        <v>Jan</v>
      </c>
    </row>
    <row r="69" spans="1:13" x14ac:dyDescent="0.3">
      <c r="A69" t="s">
        <v>120</v>
      </c>
      <c r="B69" t="s">
        <v>79</v>
      </c>
      <c r="C69" t="s">
        <v>14</v>
      </c>
      <c r="D69">
        <v>23</v>
      </c>
      <c r="E69" t="s">
        <v>61</v>
      </c>
      <c r="F69" t="s">
        <v>23</v>
      </c>
      <c r="G69" s="1">
        <v>46145</v>
      </c>
      <c r="H69" s="1">
        <v>46149</v>
      </c>
      <c r="I69" t="s">
        <v>27</v>
      </c>
      <c r="J69">
        <v>83773</v>
      </c>
      <c r="K69" t="s">
        <v>18</v>
      </c>
      <c r="L69" t="s">
        <v>28</v>
      </c>
      <c r="M69" t="str">
        <f t="shared" si="1"/>
        <v>May</v>
      </c>
    </row>
    <row r="70" spans="1:13" x14ac:dyDescent="0.3">
      <c r="A70" t="s">
        <v>121</v>
      </c>
      <c r="B70" t="s">
        <v>39</v>
      </c>
      <c r="C70" t="s">
        <v>14</v>
      </c>
      <c r="D70">
        <v>22</v>
      </c>
      <c r="E70" t="s">
        <v>15</v>
      </c>
      <c r="F70" t="s">
        <v>54</v>
      </c>
      <c r="G70" s="1">
        <v>46163</v>
      </c>
      <c r="H70" s="1">
        <v>46170</v>
      </c>
      <c r="I70" t="s">
        <v>40</v>
      </c>
      <c r="J70">
        <v>27267</v>
      </c>
      <c r="K70" t="s">
        <v>18</v>
      </c>
      <c r="L70" t="s">
        <v>19</v>
      </c>
      <c r="M70" t="str">
        <f t="shared" si="1"/>
        <v>May</v>
      </c>
    </row>
    <row r="71" spans="1:13" x14ac:dyDescent="0.3">
      <c r="A71" t="s">
        <v>122</v>
      </c>
      <c r="B71" t="s">
        <v>47</v>
      </c>
      <c r="C71" t="s">
        <v>14</v>
      </c>
      <c r="D71">
        <v>20</v>
      </c>
      <c r="E71" t="s">
        <v>48</v>
      </c>
      <c r="F71" t="s">
        <v>35</v>
      </c>
      <c r="G71" s="1">
        <v>46047</v>
      </c>
      <c r="H71" s="1">
        <v>46057</v>
      </c>
      <c r="I71" t="s">
        <v>17</v>
      </c>
      <c r="J71">
        <v>106253</v>
      </c>
      <c r="K71" t="s">
        <v>32</v>
      </c>
      <c r="L71" t="s">
        <v>28</v>
      </c>
      <c r="M71" t="str">
        <f t="shared" si="1"/>
        <v>Jan</v>
      </c>
    </row>
    <row r="72" spans="1:13" x14ac:dyDescent="0.3">
      <c r="A72" t="s">
        <v>123</v>
      </c>
      <c r="B72" t="s">
        <v>82</v>
      </c>
      <c r="C72" t="s">
        <v>22</v>
      </c>
      <c r="D72">
        <v>73</v>
      </c>
      <c r="E72" t="s">
        <v>61</v>
      </c>
      <c r="F72" t="s">
        <v>35</v>
      </c>
      <c r="G72" s="1">
        <v>46179</v>
      </c>
      <c r="H72" s="1">
        <v>46180</v>
      </c>
      <c r="I72" t="s">
        <v>36</v>
      </c>
      <c r="J72">
        <v>77354</v>
      </c>
      <c r="K72" t="s">
        <v>32</v>
      </c>
      <c r="L72" t="s">
        <v>19</v>
      </c>
      <c r="M72" t="str">
        <f t="shared" si="1"/>
        <v>Jun</v>
      </c>
    </row>
    <row r="73" spans="1:13" x14ac:dyDescent="0.3">
      <c r="A73" t="s">
        <v>124</v>
      </c>
      <c r="B73" t="s">
        <v>125</v>
      </c>
      <c r="C73" t="s">
        <v>22</v>
      </c>
      <c r="D73">
        <v>44</v>
      </c>
      <c r="E73" t="s">
        <v>15</v>
      </c>
      <c r="F73" t="s">
        <v>54</v>
      </c>
      <c r="G73" s="1">
        <v>46081</v>
      </c>
      <c r="H73" s="1">
        <v>46090</v>
      </c>
      <c r="I73" t="s">
        <v>51</v>
      </c>
      <c r="J73">
        <v>67520</v>
      </c>
      <c r="K73" t="s">
        <v>24</v>
      </c>
      <c r="L73" t="s">
        <v>25</v>
      </c>
      <c r="M73" t="str">
        <f t="shared" si="1"/>
        <v>Feb</v>
      </c>
    </row>
    <row r="74" spans="1:13" x14ac:dyDescent="0.3">
      <c r="A74" t="s">
        <v>126</v>
      </c>
      <c r="B74" t="s">
        <v>65</v>
      </c>
      <c r="C74" t="s">
        <v>22</v>
      </c>
      <c r="D74">
        <v>27</v>
      </c>
      <c r="E74" t="s">
        <v>53</v>
      </c>
      <c r="F74" t="s">
        <v>43</v>
      </c>
      <c r="G74" s="1">
        <v>46182</v>
      </c>
      <c r="H74" s="1">
        <v>46186</v>
      </c>
      <c r="I74" t="s">
        <v>51</v>
      </c>
      <c r="J74">
        <v>70420</v>
      </c>
      <c r="K74" t="s">
        <v>24</v>
      </c>
      <c r="L74" t="s">
        <v>28</v>
      </c>
      <c r="M74" t="str">
        <f t="shared" si="1"/>
        <v>Jun</v>
      </c>
    </row>
    <row r="75" spans="1:13" x14ac:dyDescent="0.3">
      <c r="A75" t="s">
        <v>127</v>
      </c>
      <c r="B75" t="s">
        <v>47</v>
      </c>
      <c r="C75" t="s">
        <v>22</v>
      </c>
      <c r="D75">
        <v>14</v>
      </c>
      <c r="E75" t="s">
        <v>48</v>
      </c>
      <c r="F75" t="s">
        <v>54</v>
      </c>
      <c r="G75" s="1">
        <v>46093</v>
      </c>
      <c r="H75" s="1">
        <v>46094</v>
      </c>
      <c r="I75" t="s">
        <v>40</v>
      </c>
      <c r="J75">
        <v>114797</v>
      </c>
      <c r="K75" t="s">
        <v>18</v>
      </c>
      <c r="L75" t="s">
        <v>25</v>
      </c>
      <c r="M75" t="str">
        <f t="shared" si="1"/>
        <v>Mar</v>
      </c>
    </row>
    <row r="76" spans="1:13" x14ac:dyDescent="0.3">
      <c r="A76" t="s">
        <v>128</v>
      </c>
      <c r="B76" t="s">
        <v>21</v>
      </c>
      <c r="C76" t="s">
        <v>22</v>
      </c>
      <c r="D76">
        <v>6</v>
      </c>
      <c r="E76" t="s">
        <v>31</v>
      </c>
      <c r="F76" t="s">
        <v>35</v>
      </c>
      <c r="G76" s="1">
        <v>46091</v>
      </c>
      <c r="H76" s="1">
        <v>46095</v>
      </c>
      <c r="I76" t="s">
        <v>51</v>
      </c>
      <c r="J76">
        <v>7910</v>
      </c>
      <c r="K76" t="s">
        <v>37</v>
      </c>
      <c r="L76" t="s">
        <v>28</v>
      </c>
      <c r="M76" t="str">
        <f t="shared" si="1"/>
        <v>Mar</v>
      </c>
    </row>
    <row r="77" spans="1:13" x14ac:dyDescent="0.3">
      <c r="A77" t="s">
        <v>129</v>
      </c>
      <c r="B77" t="s">
        <v>79</v>
      </c>
      <c r="C77" t="s">
        <v>14</v>
      </c>
      <c r="D77">
        <v>44</v>
      </c>
      <c r="E77" t="s">
        <v>15</v>
      </c>
      <c r="F77" t="s">
        <v>16</v>
      </c>
      <c r="G77" s="1">
        <v>46165</v>
      </c>
      <c r="H77" s="1">
        <v>46169</v>
      </c>
      <c r="I77" t="s">
        <v>51</v>
      </c>
      <c r="J77">
        <v>59811</v>
      </c>
      <c r="K77" t="s">
        <v>18</v>
      </c>
      <c r="L77" t="s">
        <v>25</v>
      </c>
      <c r="M77" t="str">
        <f t="shared" si="1"/>
        <v>May</v>
      </c>
    </row>
    <row r="78" spans="1:13" x14ac:dyDescent="0.3">
      <c r="A78" t="s">
        <v>130</v>
      </c>
      <c r="B78" t="s">
        <v>65</v>
      </c>
      <c r="C78" t="s">
        <v>14</v>
      </c>
      <c r="D78">
        <v>20</v>
      </c>
      <c r="E78" t="s">
        <v>31</v>
      </c>
      <c r="F78" t="s">
        <v>16</v>
      </c>
      <c r="G78" s="1">
        <v>46036</v>
      </c>
      <c r="H78" s="1">
        <v>46044</v>
      </c>
      <c r="I78" t="s">
        <v>63</v>
      </c>
      <c r="J78">
        <v>22492</v>
      </c>
      <c r="K78" t="s">
        <v>18</v>
      </c>
      <c r="L78" t="s">
        <v>28</v>
      </c>
      <c r="M78" t="str">
        <f t="shared" si="1"/>
        <v>Jan</v>
      </c>
    </row>
    <row r="79" spans="1:13" x14ac:dyDescent="0.3">
      <c r="A79" t="s">
        <v>131</v>
      </c>
      <c r="B79" t="s">
        <v>82</v>
      </c>
      <c r="C79" t="s">
        <v>14</v>
      </c>
      <c r="D79">
        <v>46</v>
      </c>
      <c r="E79" t="s">
        <v>53</v>
      </c>
      <c r="F79" t="s">
        <v>43</v>
      </c>
      <c r="G79" s="1">
        <v>46199</v>
      </c>
      <c r="H79" s="1">
        <v>46209</v>
      </c>
      <c r="I79" t="s">
        <v>17</v>
      </c>
      <c r="J79">
        <v>15101</v>
      </c>
      <c r="K79" t="s">
        <v>18</v>
      </c>
      <c r="L79" t="s">
        <v>28</v>
      </c>
      <c r="M79" t="str">
        <f t="shared" si="1"/>
        <v>Jun</v>
      </c>
    </row>
    <row r="80" spans="1:13" x14ac:dyDescent="0.3">
      <c r="A80" t="s">
        <v>132</v>
      </c>
      <c r="B80" t="s">
        <v>42</v>
      </c>
      <c r="C80" t="s">
        <v>22</v>
      </c>
      <c r="D80">
        <v>59</v>
      </c>
      <c r="E80" t="s">
        <v>45</v>
      </c>
      <c r="F80" t="s">
        <v>54</v>
      </c>
      <c r="G80" s="1">
        <v>46120</v>
      </c>
      <c r="H80" s="1">
        <v>46127</v>
      </c>
      <c r="I80" t="s">
        <v>63</v>
      </c>
      <c r="J80">
        <v>100025</v>
      </c>
      <c r="K80" t="s">
        <v>24</v>
      </c>
      <c r="L80" t="s">
        <v>25</v>
      </c>
      <c r="M80" t="str">
        <f t="shared" si="1"/>
        <v>Apr</v>
      </c>
    </row>
    <row r="81" spans="1:13" x14ac:dyDescent="0.3">
      <c r="A81" t="s">
        <v>133</v>
      </c>
      <c r="B81" t="s">
        <v>65</v>
      </c>
      <c r="C81" t="s">
        <v>14</v>
      </c>
      <c r="D81">
        <v>74</v>
      </c>
      <c r="E81" t="s">
        <v>31</v>
      </c>
      <c r="F81" t="s">
        <v>54</v>
      </c>
      <c r="G81" s="1">
        <v>46132</v>
      </c>
      <c r="H81" s="1">
        <v>46138</v>
      </c>
      <c r="I81" t="s">
        <v>40</v>
      </c>
      <c r="J81">
        <v>111208</v>
      </c>
      <c r="K81" t="s">
        <v>18</v>
      </c>
      <c r="L81" t="s">
        <v>19</v>
      </c>
      <c r="M81" t="str">
        <f t="shared" si="1"/>
        <v>Apr</v>
      </c>
    </row>
    <row r="82" spans="1:13" x14ac:dyDescent="0.3">
      <c r="A82" t="s">
        <v>134</v>
      </c>
      <c r="B82" t="s">
        <v>42</v>
      </c>
      <c r="C82" t="s">
        <v>14</v>
      </c>
      <c r="D82">
        <v>54</v>
      </c>
      <c r="E82" t="s">
        <v>48</v>
      </c>
      <c r="F82" t="s">
        <v>23</v>
      </c>
      <c r="G82" s="1">
        <v>46082</v>
      </c>
      <c r="H82" s="1">
        <v>46090</v>
      </c>
      <c r="I82" t="s">
        <v>36</v>
      </c>
      <c r="J82">
        <v>116715</v>
      </c>
      <c r="K82" t="s">
        <v>32</v>
      </c>
      <c r="L82" t="s">
        <v>25</v>
      </c>
      <c r="M82" t="str">
        <f t="shared" si="1"/>
        <v>Mar</v>
      </c>
    </row>
    <row r="83" spans="1:13" x14ac:dyDescent="0.3">
      <c r="A83" t="s">
        <v>135</v>
      </c>
      <c r="B83" t="s">
        <v>21</v>
      </c>
      <c r="C83" t="s">
        <v>14</v>
      </c>
      <c r="D83">
        <v>37</v>
      </c>
      <c r="E83" t="s">
        <v>61</v>
      </c>
      <c r="F83" t="s">
        <v>35</v>
      </c>
      <c r="G83" s="1">
        <v>46161</v>
      </c>
      <c r="H83" s="1">
        <v>46168</v>
      </c>
      <c r="I83" t="s">
        <v>36</v>
      </c>
      <c r="J83">
        <v>104016</v>
      </c>
      <c r="K83" t="s">
        <v>18</v>
      </c>
      <c r="L83" t="s">
        <v>28</v>
      </c>
      <c r="M83" t="str">
        <f t="shared" si="1"/>
        <v>May</v>
      </c>
    </row>
    <row r="84" spans="1:13" x14ac:dyDescent="0.3">
      <c r="A84" t="s">
        <v>136</v>
      </c>
      <c r="B84" t="s">
        <v>60</v>
      </c>
      <c r="C84" t="s">
        <v>22</v>
      </c>
      <c r="D84">
        <v>69</v>
      </c>
      <c r="E84" t="s">
        <v>15</v>
      </c>
      <c r="F84" t="s">
        <v>35</v>
      </c>
      <c r="G84" s="1">
        <v>46052</v>
      </c>
      <c r="H84" s="1">
        <v>46058</v>
      </c>
      <c r="I84" t="s">
        <v>51</v>
      </c>
      <c r="J84">
        <v>68403</v>
      </c>
      <c r="K84" t="s">
        <v>24</v>
      </c>
      <c r="L84" t="s">
        <v>19</v>
      </c>
      <c r="M84" t="str">
        <f t="shared" si="1"/>
        <v>Jan</v>
      </c>
    </row>
    <row r="85" spans="1:13" x14ac:dyDescent="0.3">
      <c r="A85" t="s">
        <v>137</v>
      </c>
      <c r="B85" t="s">
        <v>21</v>
      </c>
      <c r="C85" t="s">
        <v>22</v>
      </c>
      <c r="D85">
        <v>65</v>
      </c>
      <c r="E85" t="s">
        <v>53</v>
      </c>
      <c r="F85" t="s">
        <v>16</v>
      </c>
      <c r="G85" s="1">
        <v>46148</v>
      </c>
      <c r="H85" s="1">
        <v>46150</v>
      </c>
      <c r="I85" t="s">
        <v>27</v>
      </c>
      <c r="J85">
        <v>87729</v>
      </c>
      <c r="K85" t="s">
        <v>24</v>
      </c>
      <c r="L85" t="s">
        <v>28</v>
      </c>
      <c r="M85" t="str">
        <f t="shared" si="1"/>
        <v>May</v>
      </c>
    </row>
    <row r="86" spans="1:13" x14ac:dyDescent="0.3">
      <c r="A86" t="s">
        <v>138</v>
      </c>
      <c r="B86" t="s">
        <v>65</v>
      </c>
      <c r="C86" t="s">
        <v>14</v>
      </c>
      <c r="D86">
        <v>28</v>
      </c>
      <c r="E86" t="s">
        <v>48</v>
      </c>
      <c r="F86" t="s">
        <v>35</v>
      </c>
      <c r="G86" s="1">
        <v>46170</v>
      </c>
      <c r="H86" s="1">
        <v>46171</v>
      </c>
      <c r="I86" t="s">
        <v>17</v>
      </c>
      <c r="J86">
        <v>59172</v>
      </c>
      <c r="K86" t="s">
        <v>32</v>
      </c>
      <c r="L86" t="s">
        <v>25</v>
      </c>
      <c r="M86" t="str">
        <f t="shared" si="1"/>
        <v>May</v>
      </c>
    </row>
    <row r="87" spans="1:13" x14ac:dyDescent="0.3">
      <c r="A87" t="s">
        <v>139</v>
      </c>
      <c r="B87" t="s">
        <v>60</v>
      </c>
      <c r="C87" t="s">
        <v>22</v>
      </c>
      <c r="D87">
        <v>27</v>
      </c>
      <c r="E87" t="s">
        <v>53</v>
      </c>
      <c r="F87" t="s">
        <v>54</v>
      </c>
      <c r="G87" s="1">
        <v>46184</v>
      </c>
      <c r="H87" s="1">
        <v>46193</v>
      </c>
      <c r="I87" t="s">
        <v>17</v>
      </c>
      <c r="J87">
        <v>115208</v>
      </c>
      <c r="K87" t="s">
        <v>37</v>
      </c>
      <c r="L87" t="s">
        <v>28</v>
      </c>
      <c r="M87" t="str">
        <f t="shared" si="1"/>
        <v>Jun</v>
      </c>
    </row>
    <row r="88" spans="1:13" x14ac:dyDescent="0.3">
      <c r="A88" t="s">
        <v>140</v>
      </c>
      <c r="B88" t="s">
        <v>97</v>
      </c>
      <c r="C88" t="s">
        <v>14</v>
      </c>
      <c r="D88">
        <v>28</v>
      </c>
      <c r="E88" t="s">
        <v>45</v>
      </c>
      <c r="F88" t="s">
        <v>54</v>
      </c>
      <c r="G88" s="1">
        <v>46142</v>
      </c>
      <c r="H88" s="1">
        <v>46146</v>
      </c>
      <c r="I88" t="s">
        <v>51</v>
      </c>
      <c r="J88">
        <v>118390</v>
      </c>
      <c r="K88" t="s">
        <v>32</v>
      </c>
      <c r="L88" t="s">
        <v>19</v>
      </c>
      <c r="M88" t="str">
        <f t="shared" si="1"/>
        <v>Apr</v>
      </c>
    </row>
    <row r="89" spans="1:13" x14ac:dyDescent="0.3">
      <c r="A89" t="s">
        <v>141</v>
      </c>
      <c r="B89" t="s">
        <v>50</v>
      </c>
      <c r="C89" t="s">
        <v>22</v>
      </c>
      <c r="D89">
        <v>27</v>
      </c>
      <c r="E89" t="s">
        <v>15</v>
      </c>
      <c r="F89" t="s">
        <v>54</v>
      </c>
      <c r="G89" s="1">
        <v>46072</v>
      </c>
      <c r="H89" s="1">
        <v>46081</v>
      </c>
      <c r="I89" t="s">
        <v>40</v>
      </c>
      <c r="J89">
        <v>76769</v>
      </c>
      <c r="K89" t="s">
        <v>32</v>
      </c>
      <c r="L89" t="s">
        <v>28</v>
      </c>
      <c r="M89" t="str">
        <f t="shared" si="1"/>
        <v>Feb</v>
      </c>
    </row>
    <row r="90" spans="1:13" x14ac:dyDescent="0.3">
      <c r="A90" t="s">
        <v>142</v>
      </c>
      <c r="B90" t="s">
        <v>47</v>
      </c>
      <c r="C90" t="s">
        <v>22</v>
      </c>
      <c r="D90">
        <v>18</v>
      </c>
      <c r="E90" t="s">
        <v>48</v>
      </c>
      <c r="F90" t="s">
        <v>43</v>
      </c>
      <c r="G90" s="1">
        <v>46140</v>
      </c>
      <c r="H90" s="1">
        <v>46149</v>
      </c>
      <c r="I90" t="s">
        <v>63</v>
      </c>
      <c r="J90">
        <v>42810</v>
      </c>
      <c r="K90" t="s">
        <v>24</v>
      </c>
      <c r="L90" t="s">
        <v>19</v>
      </c>
      <c r="M90" t="str">
        <f t="shared" si="1"/>
        <v>Apr</v>
      </c>
    </row>
    <row r="91" spans="1:13" x14ac:dyDescent="0.3">
      <c r="A91" t="s">
        <v>143</v>
      </c>
      <c r="B91" t="s">
        <v>13</v>
      </c>
      <c r="C91" t="s">
        <v>22</v>
      </c>
      <c r="D91">
        <v>11</v>
      </c>
      <c r="E91" t="s">
        <v>45</v>
      </c>
      <c r="F91" t="s">
        <v>54</v>
      </c>
      <c r="G91" s="1">
        <v>46127</v>
      </c>
      <c r="H91" s="1">
        <v>46131</v>
      </c>
      <c r="I91" t="s">
        <v>27</v>
      </c>
      <c r="J91">
        <v>119013</v>
      </c>
      <c r="K91" t="s">
        <v>24</v>
      </c>
      <c r="L91" t="s">
        <v>28</v>
      </c>
      <c r="M91" t="str">
        <f t="shared" si="1"/>
        <v>Apr</v>
      </c>
    </row>
    <row r="92" spans="1:13" x14ac:dyDescent="0.3">
      <c r="A92" t="s">
        <v>144</v>
      </c>
      <c r="B92" t="s">
        <v>30</v>
      </c>
      <c r="C92" t="s">
        <v>22</v>
      </c>
      <c r="D92">
        <v>60</v>
      </c>
      <c r="E92" t="s">
        <v>15</v>
      </c>
      <c r="F92" t="s">
        <v>16</v>
      </c>
      <c r="G92" s="1">
        <v>46171</v>
      </c>
      <c r="H92" s="1">
        <v>46176</v>
      </c>
      <c r="I92" t="s">
        <v>36</v>
      </c>
      <c r="J92">
        <v>102708</v>
      </c>
      <c r="K92" t="s">
        <v>18</v>
      </c>
      <c r="L92" t="s">
        <v>28</v>
      </c>
      <c r="M92" t="str">
        <f t="shared" si="1"/>
        <v>May</v>
      </c>
    </row>
    <row r="93" spans="1:13" x14ac:dyDescent="0.3">
      <c r="A93" t="s">
        <v>145</v>
      </c>
      <c r="B93" t="s">
        <v>65</v>
      </c>
      <c r="C93" t="s">
        <v>22</v>
      </c>
      <c r="D93">
        <v>60</v>
      </c>
      <c r="E93" t="s">
        <v>45</v>
      </c>
      <c r="F93" t="s">
        <v>35</v>
      </c>
      <c r="G93" s="1">
        <v>46191</v>
      </c>
      <c r="H93" s="1">
        <v>46196</v>
      </c>
      <c r="I93" t="s">
        <v>17</v>
      </c>
      <c r="J93">
        <v>33914</v>
      </c>
      <c r="K93" t="s">
        <v>37</v>
      </c>
      <c r="L93" t="s">
        <v>19</v>
      </c>
      <c r="M93" t="str">
        <f t="shared" si="1"/>
        <v>Jun</v>
      </c>
    </row>
    <row r="94" spans="1:13" x14ac:dyDescent="0.3">
      <c r="A94" t="s">
        <v>146</v>
      </c>
      <c r="B94" t="s">
        <v>47</v>
      </c>
      <c r="C94" t="s">
        <v>22</v>
      </c>
      <c r="D94">
        <v>66</v>
      </c>
      <c r="E94" t="s">
        <v>53</v>
      </c>
      <c r="F94" t="s">
        <v>23</v>
      </c>
      <c r="G94" s="1">
        <v>46081</v>
      </c>
      <c r="H94" s="1">
        <v>46086</v>
      </c>
      <c r="I94" t="s">
        <v>17</v>
      </c>
      <c r="J94">
        <v>77494</v>
      </c>
      <c r="K94" t="s">
        <v>24</v>
      </c>
      <c r="L94" t="s">
        <v>25</v>
      </c>
      <c r="M94" t="str">
        <f t="shared" si="1"/>
        <v>Feb</v>
      </c>
    </row>
    <row r="95" spans="1:13" x14ac:dyDescent="0.3">
      <c r="A95" t="s">
        <v>147</v>
      </c>
      <c r="B95" t="s">
        <v>47</v>
      </c>
      <c r="C95" t="s">
        <v>22</v>
      </c>
      <c r="D95">
        <v>72</v>
      </c>
      <c r="E95" t="s">
        <v>45</v>
      </c>
      <c r="F95" t="s">
        <v>54</v>
      </c>
      <c r="G95" s="1">
        <v>46095</v>
      </c>
      <c r="H95" s="1">
        <v>46104</v>
      </c>
      <c r="I95" t="s">
        <v>36</v>
      </c>
      <c r="J95">
        <v>63354</v>
      </c>
      <c r="K95" t="s">
        <v>32</v>
      </c>
      <c r="L95" t="s">
        <v>19</v>
      </c>
      <c r="M95" t="str">
        <f t="shared" si="1"/>
        <v>Mar</v>
      </c>
    </row>
    <row r="96" spans="1:13" x14ac:dyDescent="0.3">
      <c r="A96" t="s">
        <v>148</v>
      </c>
      <c r="B96" t="s">
        <v>60</v>
      </c>
      <c r="C96" t="s">
        <v>14</v>
      </c>
      <c r="D96">
        <v>62</v>
      </c>
      <c r="E96" t="s">
        <v>31</v>
      </c>
      <c r="F96" t="s">
        <v>35</v>
      </c>
      <c r="G96" s="1">
        <v>46161</v>
      </c>
      <c r="H96" s="1">
        <v>46168</v>
      </c>
      <c r="I96" t="s">
        <v>40</v>
      </c>
      <c r="J96">
        <v>67943</v>
      </c>
      <c r="K96" t="s">
        <v>32</v>
      </c>
      <c r="L96" t="s">
        <v>28</v>
      </c>
      <c r="M96" t="str">
        <f t="shared" si="1"/>
        <v>May</v>
      </c>
    </row>
    <row r="97" spans="1:13" x14ac:dyDescent="0.3">
      <c r="A97" t="s">
        <v>149</v>
      </c>
      <c r="B97" t="s">
        <v>34</v>
      </c>
      <c r="C97" t="s">
        <v>22</v>
      </c>
      <c r="D97">
        <v>34</v>
      </c>
      <c r="E97" t="s">
        <v>48</v>
      </c>
      <c r="F97" t="s">
        <v>23</v>
      </c>
      <c r="G97" s="1">
        <v>46201</v>
      </c>
      <c r="H97" s="1">
        <v>46203</v>
      </c>
      <c r="I97" t="s">
        <v>51</v>
      </c>
      <c r="J97">
        <v>16599</v>
      </c>
      <c r="K97" t="s">
        <v>24</v>
      </c>
      <c r="L97" t="s">
        <v>28</v>
      </c>
      <c r="M97" t="str">
        <f t="shared" si="1"/>
        <v>Jun</v>
      </c>
    </row>
    <row r="98" spans="1:13" x14ac:dyDescent="0.3">
      <c r="A98" t="s">
        <v>150</v>
      </c>
      <c r="B98" t="s">
        <v>65</v>
      </c>
      <c r="C98" t="s">
        <v>22</v>
      </c>
      <c r="D98">
        <v>66</v>
      </c>
      <c r="E98" t="s">
        <v>61</v>
      </c>
      <c r="F98" t="s">
        <v>54</v>
      </c>
      <c r="G98" s="1">
        <v>46117</v>
      </c>
      <c r="H98" s="1">
        <v>46127</v>
      </c>
      <c r="I98" t="s">
        <v>17</v>
      </c>
      <c r="J98">
        <v>48234</v>
      </c>
      <c r="K98" t="s">
        <v>37</v>
      </c>
      <c r="L98" t="s">
        <v>19</v>
      </c>
      <c r="M98" t="str">
        <f t="shared" si="1"/>
        <v>Apr</v>
      </c>
    </row>
    <row r="99" spans="1:13" x14ac:dyDescent="0.3">
      <c r="A99" t="s">
        <v>151</v>
      </c>
      <c r="B99" t="s">
        <v>39</v>
      </c>
      <c r="C99" t="s">
        <v>14</v>
      </c>
      <c r="D99">
        <v>72</v>
      </c>
      <c r="E99" t="s">
        <v>61</v>
      </c>
      <c r="F99" t="s">
        <v>16</v>
      </c>
      <c r="G99" s="1">
        <v>46100</v>
      </c>
      <c r="H99" s="1">
        <v>46105</v>
      </c>
      <c r="I99" t="s">
        <v>40</v>
      </c>
      <c r="J99">
        <v>55929</v>
      </c>
      <c r="K99" t="s">
        <v>24</v>
      </c>
      <c r="L99" t="s">
        <v>25</v>
      </c>
      <c r="M99" t="str">
        <f t="shared" si="1"/>
        <v>Mar</v>
      </c>
    </row>
    <row r="100" spans="1:13" x14ac:dyDescent="0.3">
      <c r="A100" t="s">
        <v>152</v>
      </c>
      <c r="B100" t="s">
        <v>34</v>
      </c>
      <c r="C100" t="s">
        <v>14</v>
      </c>
      <c r="D100">
        <v>16</v>
      </c>
      <c r="E100" t="s">
        <v>53</v>
      </c>
      <c r="F100" t="s">
        <v>23</v>
      </c>
      <c r="G100" s="1">
        <v>46139</v>
      </c>
      <c r="H100" s="1">
        <v>46148</v>
      </c>
      <c r="I100" t="s">
        <v>63</v>
      </c>
      <c r="J100">
        <v>107171</v>
      </c>
      <c r="K100" t="s">
        <v>18</v>
      </c>
      <c r="L100" t="s">
        <v>19</v>
      </c>
      <c r="M100" t="str">
        <f t="shared" si="1"/>
        <v>Apr</v>
      </c>
    </row>
    <row r="101" spans="1:13" x14ac:dyDescent="0.3">
      <c r="A101" t="s">
        <v>153</v>
      </c>
      <c r="B101" t="s">
        <v>42</v>
      </c>
      <c r="C101" t="s">
        <v>22</v>
      </c>
      <c r="D101">
        <v>33</v>
      </c>
      <c r="E101" t="s">
        <v>15</v>
      </c>
      <c r="F101" t="s">
        <v>35</v>
      </c>
      <c r="G101" s="1">
        <v>46149</v>
      </c>
      <c r="H101" s="1">
        <v>46154</v>
      </c>
      <c r="I101" t="s">
        <v>17</v>
      </c>
      <c r="J101">
        <v>118375</v>
      </c>
      <c r="K101" t="s">
        <v>24</v>
      </c>
      <c r="L101" t="s">
        <v>25</v>
      </c>
      <c r="M101" t="str">
        <f t="shared" si="1"/>
        <v>May</v>
      </c>
    </row>
    <row r="102" spans="1:13" x14ac:dyDescent="0.3">
      <c r="A102" t="s">
        <v>154</v>
      </c>
      <c r="B102" t="s">
        <v>125</v>
      </c>
      <c r="C102" t="s">
        <v>14</v>
      </c>
      <c r="D102">
        <v>20</v>
      </c>
      <c r="E102" t="s">
        <v>15</v>
      </c>
      <c r="F102" t="s">
        <v>23</v>
      </c>
      <c r="G102" s="1">
        <v>46047</v>
      </c>
      <c r="H102" s="1">
        <v>46049</v>
      </c>
      <c r="I102" t="s">
        <v>17</v>
      </c>
      <c r="J102">
        <v>40270</v>
      </c>
      <c r="K102" t="s">
        <v>18</v>
      </c>
      <c r="L102" t="s">
        <v>28</v>
      </c>
      <c r="M102" t="str">
        <f t="shared" si="1"/>
        <v>Jan</v>
      </c>
    </row>
    <row r="103" spans="1:13" x14ac:dyDescent="0.3">
      <c r="A103" t="s">
        <v>155</v>
      </c>
      <c r="B103" t="s">
        <v>125</v>
      </c>
      <c r="C103" t="s">
        <v>22</v>
      </c>
      <c r="D103">
        <v>16</v>
      </c>
      <c r="E103" t="s">
        <v>45</v>
      </c>
      <c r="F103" t="s">
        <v>23</v>
      </c>
      <c r="G103" s="1">
        <v>46189</v>
      </c>
      <c r="H103" s="1">
        <v>46194</v>
      </c>
      <c r="I103" t="s">
        <v>40</v>
      </c>
      <c r="J103">
        <v>67248</v>
      </c>
      <c r="K103" t="s">
        <v>18</v>
      </c>
      <c r="L103" t="s">
        <v>28</v>
      </c>
      <c r="M103" t="str">
        <f t="shared" si="1"/>
        <v>Jun</v>
      </c>
    </row>
    <row r="104" spans="1:13" x14ac:dyDescent="0.3">
      <c r="A104" t="s">
        <v>156</v>
      </c>
      <c r="B104" t="s">
        <v>72</v>
      </c>
      <c r="C104" t="s">
        <v>14</v>
      </c>
      <c r="D104">
        <v>66</v>
      </c>
      <c r="E104" t="s">
        <v>61</v>
      </c>
      <c r="F104" t="s">
        <v>35</v>
      </c>
      <c r="G104" s="1">
        <v>46061</v>
      </c>
      <c r="H104" s="1">
        <v>46069</v>
      </c>
      <c r="I104" t="s">
        <v>40</v>
      </c>
      <c r="J104">
        <v>33105</v>
      </c>
      <c r="K104" t="s">
        <v>32</v>
      </c>
      <c r="L104" t="s">
        <v>28</v>
      </c>
      <c r="M104" t="str">
        <f t="shared" si="1"/>
        <v>Feb</v>
      </c>
    </row>
    <row r="105" spans="1:13" x14ac:dyDescent="0.3">
      <c r="A105" t="s">
        <v>157</v>
      </c>
      <c r="B105" t="s">
        <v>39</v>
      </c>
      <c r="C105" t="s">
        <v>22</v>
      </c>
      <c r="D105">
        <v>10</v>
      </c>
      <c r="E105" t="s">
        <v>53</v>
      </c>
      <c r="F105" t="s">
        <v>43</v>
      </c>
      <c r="G105" s="1">
        <v>46128</v>
      </c>
      <c r="H105" s="1">
        <v>46138</v>
      </c>
      <c r="I105" t="s">
        <v>63</v>
      </c>
      <c r="J105">
        <v>93389</v>
      </c>
      <c r="K105" t="s">
        <v>32</v>
      </c>
      <c r="L105" t="s">
        <v>28</v>
      </c>
      <c r="M105" t="str">
        <f t="shared" si="1"/>
        <v>Apr</v>
      </c>
    </row>
    <row r="106" spans="1:13" x14ac:dyDescent="0.3">
      <c r="A106" t="s">
        <v>158</v>
      </c>
      <c r="B106" t="s">
        <v>42</v>
      </c>
      <c r="C106" t="s">
        <v>22</v>
      </c>
      <c r="D106">
        <v>79</v>
      </c>
      <c r="E106" t="s">
        <v>48</v>
      </c>
      <c r="F106" t="s">
        <v>16</v>
      </c>
      <c r="G106" s="1">
        <v>46144</v>
      </c>
      <c r="H106" s="1">
        <v>46153</v>
      </c>
      <c r="I106" t="s">
        <v>40</v>
      </c>
      <c r="J106">
        <v>46541</v>
      </c>
      <c r="K106" t="s">
        <v>18</v>
      </c>
      <c r="L106" t="s">
        <v>28</v>
      </c>
      <c r="M106" t="str">
        <f t="shared" si="1"/>
        <v>May</v>
      </c>
    </row>
    <row r="107" spans="1:13" x14ac:dyDescent="0.3">
      <c r="A107" t="s">
        <v>159</v>
      </c>
      <c r="B107" t="s">
        <v>82</v>
      </c>
      <c r="C107" t="s">
        <v>22</v>
      </c>
      <c r="D107">
        <v>70</v>
      </c>
      <c r="E107" t="s">
        <v>48</v>
      </c>
      <c r="F107" t="s">
        <v>23</v>
      </c>
      <c r="G107" s="1">
        <v>46143</v>
      </c>
      <c r="H107" s="1">
        <v>46151</v>
      </c>
      <c r="I107" t="s">
        <v>63</v>
      </c>
      <c r="J107">
        <v>20879</v>
      </c>
      <c r="K107" t="s">
        <v>24</v>
      </c>
      <c r="L107" t="s">
        <v>28</v>
      </c>
      <c r="M107" t="str">
        <f t="shared" si="1"/>
        <v>May</v>
      </c>
    </row>
    <row r="108" spans="1:13" x14ac:dyDescent="0.3">
      <c r="A108" t="s">
        <v>160</v>
      </c>
      <c r="B108" t="s">
        <v>34</v>
      </c>
      <c r="C108" t="s">
        <v>22</v>
      </c>
      <c r="D108">
        <v>74</v>
      </c>
      <c r="E108" t="s">
        <v>15</v>
      </c>
      <c r="F108" t="s">
        <v>23</v>
      </c>
      <c r="G108" s="1">
        <v>46091</v>
      </c>
      <c r="H108" s="1">
        <v>46093</v>
      </c>
      <c r="I108" t="s">
        <v>51</v>
      </c>
      <c r="J108">
        <v>51346</v>
      </c>
      <c r="K108" t="s">
        <v>24</v>
      </c>
      <c r="L108" t="s">
        <v>19</v>
      </c>
      <c r="M108" t="str">
        <f t="shared" si="1"/>
        <v>Mar</v>
      </c>
    </row>
    <row r="109" spans="1:13" x14ac:dyDescent="0.3">
      <c r="A109" t="s">
        <v>161</v>
      </c>
      <c r="B109" t="s">
        <v>60</v>
      </c>
      <c r="C109" t="s">
        <v>14</v>
      </c>
      <c r="D109">
        <v>50</v>
      </c>
      <c r="E109" t="s">
        <v>45</v>
      </c>
      <c r="F109" t="s">
        <v>54</v>
      </c>
      <c r="G109" s="1">
        <v>46110</v>
      </c>
      <c r="H109" s="1">
        <v>46111</v>
      </c>
      <c r="I109" t="s">
        <v>27</v>
      </c>
      <c r="J109">
        <v>17785</v>
      </c>
      <c r="K109" t="s">
        <v>32</v>
      </c>
      <c r="L109" t="s">
        <v>25</v>
      </c>
      <c r="M109" t="str">
        <f t="shared" si="1"/>
        <v>Mar</v>
      </c>
    </row>
    <row r="110" spans="1:13" x14ac:dyDescent="0.3">
      <c r="A110" t="s">
        <v>162</v>
      </c>
      <c r="B110" t="s">
        <v>125</v>
      </c>
      <c r="C110" t="s">
        <v>14</v>
      </c>
      <c r="D110">
        <v>58</v>
      </c>
      <c r="E110" t="s">
        <v>48</v>
      </c>
      <c r="F110" t="s">
        <v>54</v>
      </c>
      <c r="G110" s="1">
        <v>46027</v>
      </c>
      <c r="H110" s="1">
        <v>46037</v>
      </c>
      <c r="I110" t="s">
        <v>63</v>
      </c>
      <c r="J110">
        <v>17580</v>
      </c>
      <c r="K110" t="s">
        <v>18</v>
      </c>
      <c r="L110" t="s">
        <v>25</v>
      </c>
      <c r="M110" t="str">
        <f t="shared" si="1"/>
        <v>Jan</v>
      </c>
    </row>
    <row r="111" spans="1:13" x14ac:dyDescent="0.3">
      <c r="A111" t="s">
        <v>163</v>
      </c>
      <c r="B111" t="s">
        <v>79</v>
      </c>
      <c r="C111" t="s">
        <v>22</v>
      </c>
      <c r="D111">
        <v>48</v>
      </c>
      <c r="E111" t="s">
        <v>53</v>
      </c>
      <c r="F111" t="s">
        <v>54</v>
      </c>
      <c r="G111" s="1">
        <v>46149</v>
      </c>
      <c r="H111" s="1">
        <v>46156</v>
      </c>
      <c r="I111" t="s">
        <v>17</v>
      </c>
      <c r="J111">
        <v>116373</v>
      </c>
      <c r="K111" t="s">
        <v>32</v>
      </c>
      <c r="L111" t="s">
        <v>28</v>
      </c>
      <c r="M111" t="str">
        <f t="shared" si="1"/>
        <v>May</v>
      </c>
    </row>
    <row r="112" spans="1:13" x14ac:dyDescent="0.3">
      <c r="A112" t="s">
        <v>164</v>
      </c>
      <c r="B112" t="s">
        <v>34</v>
      </c>
      <c r="C112" t="s">
        <v>22</v>
      </c>
      <c r="D112">
        <v>62</v>
      </c>
      <c r="E112" t="s">
        <v>31</v>
      </c>
      <c r="F112" t="s">
        <v>16</v>
      </c>
      <c r="G112" s="1">
        <v>46173</v>
      </c>
      <c r="H112" s="1">
        <v>46178</v>
      </c>
      <c r="I112" t="s">
        <v>40</v>
      </c>
      <c r="J112">
        <v>95462</v>
      </c>
      <c r="K112" t="s">
        <v>32</v>
      </c>
      <c r="L112" t="s">
        <v>25</v>
      </c>
      <c r="M112" t="str">
        <f t="shared" si="1"/>
        <v>May</v>
      </c>
    </row>
    <row r="113" spans="1:13" x14ac:dyDescent="0.3">
      <c r="A113" t="s">
        <v>165</v>
      </c>
      <c r="B113" t="s">
        <v>50</v>
      </c>
      <c r="C113" t="s">
        <v>22</v>
      </c>
      <c r="D113">
        <v>46</v>
      </c>
      <c r="E113" t="s">
        <v>48</v>
      </c>
      <c r="F113" t="s">
        <v>54</v>
      </c>
      <c r="G113" s="1">
        <v>46138</v>
      </c>
      <c r="H113" s="1">
        <v>46146</v>
      </c>
      <c r="I113" t="s">
        <v>63</v>
      </c>
      <c r="J113">
        <v>52817</v>
      </c>
      <c r="K113" t="s">
        <v>18</v>
      </c>
      <c r="L113" t="s">
        <v>28</v>
      </c>
      <c r="M113" t="str">
        <f t="shared" si="1"/>
        <v>Apr</v>
      </c>
    </row>
    <row r="114" spans="1:13" x14ac:dyDescent="0.3">
      <c r="A114" t="s">
        <v>166</v>
      </c>
      <c r="B114" t="s">
        <v>82</v>
      </c>
      <c r="C114" t="s">
        <v>22</v>
      </c>
      <c r="D114">
        <v>59</v>
      </c>
      <c r="E114" t="s">
        <v>31</v>
      </c>
      <c r="F114" t="s">
        <v>54</v>
      </c>
      <c r="G114" s="1">
        <v>46113</v>
      </c>
      <c r="H114" s="1">
        <v>46119</v>
      </c>
      <c r="I114" t="s">
        <v>51</v>
      </c>
      <c r="J114">
        <v>81382</v>
      </c>
      <c r="K114" t="s">
        <v>24</v>
      </c>
      <c r="L114" t="s">
        <v>19</v>
      </c>
      <c r="M114" t="str">
        <f t="shared" si="1"/>
        <v>Apr</v>
      </c>
    </row>
    <row r="115" spans="1:13" x14ac:dyDescent="0.3">
      <c r="A115" t="s">
        <v>167</v>
      </c>
      <c r="B115" t="s">
        <v>13</v>
      </c>
      <c r="C115" t="s">
        <v>14</v>
      </c>
      <c r="D115">
        <v>22</v>
      </c>
      <c r="E115" t="s">
        <v>15</v>
      </c>
      <c r="F115" t="s">
        <v>43</v>
      </c>
      <c r="G115" s="1">
        <v>46115</v>
      </c>
      <c r="H115" s="1">
        <v>46122</v>
      </c>
      <c r="I115" t="s">
        <v>51</v>
      </c>
      <c r="J115">
        <v>27859</v>
      </c>
      <c r="K115" t="s">
        <v>37</v>
      </c>
      <c r="L115" t="s">
        <v>28</v>
      </c>
      <c r="M115" t="str">
        <f t="shared" si="1"/>
        <v>Apr</v>
      </c>
    </row>
    <row r="116" spans="1:13" x14ac:dyDescent="0.3">
      <c r="A116" t="s">
        <v>168</v>
      </c>
      <c r="B116" t="s">
        <v>97</v>
      </c>
      <c r="C116" t="s">
        <v>22</v>
      </c>
      <c r="D116">
        <v>9</v>
      </c>
      <c r="E116" t="s">
        <v>53</v>
      </c>
      <c r="F116" t="s">
        <v>16</v>
      </c>
      <c r="G116" s="1">
        <v>46083</v>
      </c>
      <c r="H116" s="1">
        <v>46087</v>
      </c>
      <c r="I116" t="s">
        <v>40</v>
      </c>
      <c r="J116">
        <v>91323</v>
      </c>
      <c r="K116" t="s">
        <v>32</v>
      </c>
      <c r="L116" t="s">
        <v>19</v>
      </c>
      <c r="M116" t="str">
        <f t="shared" si="1"/>
        <v>Mar</v>
      </c>
    </row>
    <row r="117" spans="1:13" x14ac:dyDescent="0.3">
      <c r="A117" t="s">
        <v>169</v>
      </c>
      <c r="B117" t="s">
        <v>82</v>
      </c>
      <c r="C117" t="s">
        <v>22</v>
      </c>
      <c r="D117">
        <v>36</v>
      </c>
      <c r="E117" t="s">
        <v>45</v>
      </c>
      <c r="F117" t="s">
        <v>16</v>
      </c>
      <c r="G117" s="1">
        <v>46199</v>
      </c>
      <c r="H117" s="1">
        <v>46206</v>
      </c>
      <c r="I117" t="s">
        <v>63</v>
      </c>
      <c r="J117">
        <v>72479</v>
      </c>
      <c r="K117" t="s">
        <v>37</v>
      </c>
      <c r="L117" t="s">
        <v>25</v>
      </c>
      <c r="M117" t="str">
        <f t="shared" si="1"/>
        <v>Jun</v>
      </c>
    </row>
    <row r="118" spans="1:13" x14ac:dyDescent="0.3">
      <c r="A118" t="s">
        <v>170</v>
      </c>
      <c r="B118" t="s">
        <v>30</v>
      </c>
      <c r="C118" t="s">
        <v>14</v>
      </c>
      <c r="D118">
        <v>24</v>
      </c>
      <c r="E118" t="s">
        <v>31</v>
      </c>
      <c r="F118" t="s">
        <v>16</v>
      </c>
      <c r="G118" s="1">
        <v>46093</v>
      </c>
      <c r="H118" s="1">
        <v>46095</v>
      </c>
      <c r="I118" t="s">
        <v>36</v>
      </c>
      <c r="J118">
        <v>114014</v>
      </c>
      <c r="K118" t="s">
        <v>32</v>
      </c>
      <c r="L118" t="s">
        <v>25</v>
      </c>
      <c r="M118" t="str">
        <f t="shared" si="1"/>
        <v>Mar</v>
      </c>
    </row>
    <row r="119" spans="1:13" x14ac:dyDescent="0.3">
      <c r="A119" t="s">
        <v>171</v>
      </c>
      <c r="B119" t="s">
        <v>97</v>
      </c>
      <c r="C119" t="s">
        <v>14</v>
      </c>
      <c r="D119">
        <v>30</v>
      </c>
      <c r="E119" t="s">
        <v>45</v>
      </c>
      <c r="F119" t="s">
        <v>23</v>
      </c>
      <c r="G119" s="1">
        <v>46126</v>
      </c>
      <c r="H119" s="1">
        <v>46136</v>
      </c>
      <c r="I119" t="s">
        <v>27</v>
      </c>
      <c r="J119">
        <v>94478</v>
      </c>
      <c r="K119" t="s">
        <v>24</v>
      </c>
      <c r="L119" t="s">
        <v>25</v>
      </c>
      <c r="M119" t="str">
        <f t="shared" si="1"/>
        <v>Apr</v>
      </c>
    </row>
    <row r="120" spans="1:13" x14ac:dyDescent="0.3">
      <c r="A120" t="s">
        <v>172</v>
      </c>
      <c r="B120" t="s">
        <v>13</v>
      </c>
      <c r="C120" t="s">
        <v>22</v>
      </c>
      <c r="D120">
        <v>9</v>
      </c>
      <c r="E120" t="s">
        <v>45</v>
      </c>
      <c r="F120" t="s">
        <v>54</v>
      </c>
      <c r="G120" s="1">
        <v>46126</v>
      </c>
      <c r="H120" s="1">
        <v>46132</v>
      </c>
      <c r="I120" t="s">
        <v>36</v>
      </c>
      <c r="J120">
        <v>55664</v>
      </c>
      <c r="K120" t="s">
        <v>18</v>
      </c>
      <c r="L120" t="s">
        <v>19</v>
      </c>
      <c r="M120" t="str">
        <f t="shared" si="1"/>
        <v>Apr</v>
      </c>
    </row>
    <row r="121" spans="1:13" x14ac:dyDescent="0.3">
      <c r="A121" t="s">
        <v>173</v>
      </c>
      <c r="B121" t="s">
        <v>79</v>
      </c>
      <c r="C121" t="s">
        <v>22</v>
      </c>
      <c r="D121">
        <v>15</v>
      </c>
      <c r="E121" t="s">
        <v>45</v>
      </c>
      <c r="F121" t="s">
        <v>35</v>
      </c>
      <c r="G121" s="1">
        <v>46096</v>
      </c>
      <c r="H121" s="1">
        <v>46103</v>
      </c>
      <c r="I121" t="s">
        <v>51</v>
      </c>
      <c r="J121">
        <v>67225</v>
      </c>
      <c r="K121" t="s">
        <v>37</v>
      </c>
      <c r="L121" t="s">
        <v>19</v>
      </c>
      <c r="M121" t="str">
        <f t="shared" si="1"/>
        <v>Mar</v>
      </c>
    </row>
    <row r="122" spans="1:13" x14ac:dyDescent="0.3">
      <c r="A122" t="s">
        <v>174</v>
      </c>
      <c r="B122" t="s">
        <v>82</v>
      </c>
      <c r="C122" t="s">
        <v>14</v>
      </c>
      <c r="D122">
        <v>34</v>
      </c>
      <c r="E122" t="s">
        <v>15</v>
      </c>
      <c r="F122" t="s">
        <v>23</v>
      </c>
      <c r="G122" s="1">
        <v>46153</v>
      </c>
      <c r="H122" s="1">
        <v>46157</v>
      </c>
      <c r="I122" t="s">
        <v>36</v>
      </c>
      <c r="J122">
        <v>81791</v>
      </c>
      <c r="K122" t="s">
        <v>32</v>
      </c>
      <c r="L122" t="s">
        <v>28</v>
      </c>
      <c r="M122" t="str">
        <f t="shared" si="1"/>
        <v>May</v>
      </c>
    </row>
    <row r="123" spans="1:13" x14ac:dyDescent="0.3">
      <c r="A123" t="s">
        <v>175</v>
      </c>
      <c r="B123" t="s">
        <v>82</v>
      </c>
      <c r="C123" t="s">
        <v>14</v>
      </c>
      <c r="D123">
        <v>36</v>
      </c>
      <c r="E123" t="s">
        <v>48</v>
      </c>
      <c r="F123" t="s">
        <v>43</v>
      </c>
      <c r="G123" s="1">
        <v>46203</v>
      </c>
      <c r="H123" s="1">
        <v>46212</v>
      </c>
      <c r="I123" t="s">
        <v>40</v>
      </c>
      <c r="J123">
        <v>88738</v>
      </c>
      <c r="K123" t="s">
        <v>32</v>
      </c>
      <c r="L123" t="s">
        <v>28</v>
      </c>
      <c r="M123" t="str">
        <f t="shared" si="1"/>
        <v>Jun</v>
      </c>
    </row>
    <row r="124" spans="1:13" x14ac:dyDescent="0.3">
      <c r="A124" t="s">
        <v>176</v>
      </c>
      <c r="B124" t="s">
        <v>21</v>
      </c>
      <c r="C124" t="s">
        <v>22</v>
      </c>
      <c r="D124">
        <v>40</v>
      </c>
      <c r="E124" t="s">
        <v>53</v>
      </c>
      <c r="F124" t="s">
        <v>54</v>
      </c>
      <c r="G124" s="1">
        <v>46051</v>
      </c>
      <c r="H124" s="1">
        <v>46056</v>
      </c>
      <c r="I124" t="s">
        <v>51</v>
      </c>
      <c r="J124">
        <v>89866</v>
      </c>
      <c r="K124" t="s">
        <v>37</v>
      </c>
      <c r="L124" t="s">
        <v>28</v>
      </c>
      <c r="M124" t="str">
        <f t="shared" si="1"/>
        <v>Jan</v>
      </c>
    </row>
    <row r="125" spans="1:13" x14ac:dyDescent="0.3">
      <c r="A125" t="s">
        <v>177</v>
      </c>
      <c r="B125" t="s">
        <v>72</v>
      </c>
      <c r="C125" t="s">
        <v>22</v>
      </c>
      <c r="D125">
        <v>25</v>
      </c>
      <c r="E125" t="s">
        <v>45</v>
      </c>
      <c r="F125" t="s">
        <v>23</v>
      </c>
      <c r="G125" s="1">
        <v>46203</v>
      </c>
      <c r="H125" s="1">
        <v>46209</v>
      </c>
      <c r="I125" t="s">
        <v>36</v>
      </c>
      <c r="J125">
        <v>60388</v>
      </c>
      <c r="K125" t="s">
        <v>37</v>
      </c>
      <c r="L125" t="s">
        <v>19</v>
      </c>
      <c r="M125" t="str">
        <f t="shared" si="1"/>
        <v>Jun</v>
      </c>
    </row>
    <row r="126" spans="1:13" x14ac:dyDescent="0.3">
      <c r="A126" t="s">
        <v>178</v>
      </c>
      <c r="B126" t="s">
        <v>60</v>
      </c>
      <c r="C126" t="s">
        <v>14</v>
      </c>
      <c r="D126">
        <v>48</v>
      </c>
      <c r="E126" t="s">
        <v>53</v>
      </c>
      <c r="F126" t="s">
        <v>23</v>
      </c>
      <c r="G126" s="1">
        <v>46059</v>
      </c>
      <c r="H126" s="1">
        <v>46060</v>
      </c>
      <c r="I126" t="s">
        <v>51</v>
      </c>
      <c r="J126">
        <v>84051</v>
      </c>
      <c r="K126" t="s">
        <v>32</v>
      </c>
      <c r="L126" t="s">
        <v>28</v>
      </c>
      <c r="M126" t="str">
        <f t="shared" si="1"/>
        <v>Feb</v>
      </c>
    </row>
    <row r="127" spans="1:13" x14ac:dyDescent="0.3">
      <c r="A127" t="s">
        <v>179</v>
      </c>
      <c r="B127" t="s">
        <v>13</v>
      </c>
      <c r="C127" t="s">
        <v>22</v>
      </c>
      <c r="D127">
        <v>72</v>
      </c>
      <c r="E127" t="s">
        <v>45</v>
      </c>
      <c r="F127" t="s">
        <v>23</v>
      </c>
      <c r="G127" s="1">
        <v>46137</v>
      </c>
      <c r="H127" s="1">
        <v>46146</v>
      </c>
      <c r="I127" t="s">
        <v>63</v>
      </c>
      <c r="J127">
        <v>22642</v>
      </c>
      <c r="K127" t="s">
        <v>18</v>
      </c>
      <c r="L127" t="s">
        <v>19</v>
      </c>
      <c r="M127" t="str">
        <f t="shared" si="1"/>
        <v>Apr</v>
      </c>
    </row>
    <row r="128" spans="1:13" x14ac:dyDescent="0.3">
      <c r="A128" t="s">
        <v>180</v>
      </c>
      <c r="B128" t="s">
        <v>79</v>
      </c>
      <c r="C128" t="s">
        <v>14</v>
      </c>
      <c r="D128">
        <v>68</v>
      </c>
      <c r="E128" t="s">
        <v>61</v>
      </c>
      <c r="F128" t="s">
        <v>23</v>
      </c>
      <c r="G128" s="1">
        <v>46164</v>
      </c>
      <c r="H128" s="1">
        <v>46166</v>
      </c>
      <c r="I128" t="s">
        <v>63</v>
      </c>
      <c r="J128">
        <v>61419</v>
      </c>
      <c r="K128" t="s">
        <v>37</v>
      </c>
      <c r="L128" t="s">
        <v>19</v>
      </c>
      <c r="M128" t="str">
        <f t="shared" si="1"/>
        <v>May</v>
      </c>
    </row>
    <row r="129" spans="1:13" x14ac:dyDescent="0.3">
      <c r="A129" t="s">
        <v>181</v>
      </c>
      <c r="B129" t="s">
        <v>125</v>
      </c>
      <c r="C129" t="s">
        <v>22</v>
      </c>
      <c r="D129">
        <v>20</v>
      </c>
      <c r="E129" t="s">
        <v>15</v>
      </c>
      <c r="F129" t="s">
        <v>23</v>
      </c>
      <c r="G129" s="1">
        <v>46196</v>
      </c>
      <c r="H129" s="1">
        <v>46200</v>
      </c>
      <c r="I129" t="s">
        <v>40</v>
      </c>
      <c r="J129">
        <v>87895</v>
      </c>
      <c r="K129" t="s">
        <v>18</v>
      </c>
      <c r="L129" t="s">
        <v>28</v>
      </c>
      <c r="M129" t="str">
        <f t="shared" si="1"/>
        <v>Jun</v>
      </c>
    </row>
    <row r="130" spans="1:13" x14ac:dyDescent="0.3">
      <c r="A130" t="s">
        <v>182</v>
      </c>
      <c r="B130" t="s">
        <v>30</v>
      </c>
      <c r="C130" t="s">
        <v>22</v>
      </c>
      <c r="D130">
        <v>18</v>
      </c>
      <c r="E130" t="s">
        <v>15</v>
      </c>
      <c r="F130" t="s">
        <v>35</v>
      </c>
      <c r="G130" s="1">
        <v>46032</v>
      </c>
      <c r="H130" s="1">
        <v>46038</v>
      </c>
      <c r="I130" t="s">
        <v>63</v>
      </c>
      <c r="J130">
        <v>26129</v>
      </c>
      <c r="K130" t="s">
        <v>24</v>
      </c>
      <c r="L130" t="s">
        <v>25</v>
      </c>
      <c r="M130" t="str">
        <f t="shared" si="1"/>
        <v>Jan</v>
      </c>
    </row>
    <row r="131" spans="1:13" x14ac:dyDescent="0.3">
      <c r="A131" t="s">
        <v>183</v>
      </c>
      <c r="B131" t="s">
        <v>97</v>
      </c>
      <c r="C131" t="s">
        <v>22</v>
      </c>
      <c r="D131">
        <v>55</v>
      </c>
      <c r="E131" t="s">
        <v>45</v>
      </c>
      <c r="F131" t="s">
        <v>35</v>
      </c>
      <c r="G131" s="1">
        <v>46116</v>
      </c>
      <c r="H131" s="1">
        <v>46126</v>
      </c>
      <c r="I131" t="s">
        <v>36</v>
      </c>
      <c r="J131">
        <v>105227</v>
      </c>
      <c r="K131" t="s">
        <v>24</v>
      </c>
      <c r="L131" t="s">
        <v>25</v>
      </c>
      <c r="M131" t="str">
        <f t="shared" ref="M131:M194" si="2">TEXT(G131,"mmm")</f>
        <v>Apr</v>
      </c>
    </row>
    <row r="132" spans="1:13" x14ac:dyDescent="0.3">
      <c r="A132" t="s">
        <v>184</v>
      </c>
      <c r="B132" t="s">
        <v>47</v>
      </c>
      <c r="C132" t="s">
        <v>14</v>
      </c>
      <c r="D132">
        <v>62</v>
      </c>
      <c r="E132" t="s">
        <v>48</v>
      </c>
      <c r="F132" t="s">
        <v>43</v>
      </c>
      <c r="G132" s="1">
        <v>46118</v>
      </c>
      <c r="H132" s="1">
        <v>46128</v>
      </c>
      <c r="I132" t="s">
        <v>17</v>
      </c>
      <c r="J132">
        <v>75596</v>
      </c>
      <c r="K132" t="s">
        <v>18</v>
      </c>
      <c r="L132" t="s">
        <v>28</v>
      </c>
      <c r="M132" t="str">
        <f t="shared" si="2"/>
        <v>Apr</v>
      </c>
    </row>
    <row r="133" spans="1:13" x14ac:dyDescent="0.3">
      <c r="A133" t="s">
        <v>185</v>
      </c>
      <c r="B133" t="s">
        <v>57</v>
      </c>
      <c r="C133" t="s">
        <v>14</v>
      </c>
      <c r="D133">
        <v>18</v>
      </c>
      <c r="E133" t="s">
        <v>48</v>
      </c>
      <c r="F133" t="s">
        <v>43</v>
      </c>
      <c r="G133" s="1">
        <v>46090</v>
      </c>
      <c r="H133" s="1">
        <v>46091</v>
      </c>
      <c r="I133" t="s">
        <v>40</v>
      </c>
      <c r="J133">
        <v>65147</v>
      </c>
      <c r="K133" t="s">
        <v>24</v>
      </c>
      <c r="L133" t="s">
        <v>19</v>
      </c>
      <c r="M133" t="str">
        <f t="shared" si="2"/>
        <v>Mar</v>
      </c>
    </row>
    <row r="134" spans="1:13" x14ac:dyDescent="0.3">
      <c r="A134" t="s">
        <v>186</v>
      </c>
      <c r="B134" t="s">
        <v>72</v>
      </c>
      <c r="C134" t="s">
        <v>14</v>
      </c>
      <c r="D134">
        <v>59</v>
      </c>
      <c r="E134" t="s">
        <v>48</v>
      </c>
      <c r="F134" t="s">
        <v>35</v>
      </c>
      <c r="G134" s="1">
        <v>46069</v>
      </c>
      <c r="H134" s="1">
        <v>46074</v>
      </c>
      <c r="I134" t="s">
        <v>17</v>
      </c>
      <c r="J134">
        <v>61231</v>
      </c>
      <c r="K134" t="s">
        <v>24</v>
      </c>
      <c r="L134" t="s">
        <v>28</v>
      </c>
      <c r="M134" t="str">
        <f t="shared" si="2"/>
        <v>Feb</v>
      </c>
    </row>
    <row r="135" spans="1:13" x14ac:dyDescent="0.3">
      <c r="A135" t="s">
        <v>187</v>
      </c>
      <c r="B135" t="s">
        <v>47</v>
      </c>
      <c r="C135" t="s">
        <v>14</v>
      </c>
      <c r="D135">
        <v>51</v>
      </c>
      <c r="E135" t="s">
        <v>31</v>
      </c>
      <c r="F135" t="s">
        <v>35</v>
      </c>
      <c r="G135" s="1">
        <v>46070</v>
      </c>
      <c r="H135" s="1">
        <v>46073</v>
      </c>
      <c r="I135" t="s">
        <v>63</v>
      </c>
      <c r="J135">
        <v>69357</v>
      </c>
      <c r="K135" t="s">
        <v>18</v>
      </c>
      <c r="L135" t="s">
        <v>25</v>
      </c>
      <c r="M135" t="str">
        <f t="shared" si="2"/>
        <v>Feb</v>
      </c>
    </row>
    <row r="136" spans="1:13" x14ac:dyDescent="0.3">
      <c r="A136" t="s">
        <v>188</v>
      </c>
      <c r="B136" t="s">
        <v>125</v>
      </c>
      <c r="C136" t="s">
        <v>14</v>
      </c>
      <c r="D136">
        <v>11</v>
      </c>
      <c r="E136" t="s">
        <v>15</v>
      </c>
      <c r="F136" t="s">
        <v>54</v>
      </c>
      <c r="G136" s="1">
        <v>46032</v>
      </c>
      <c r="H136" s="1">
        <v>46038</v>
      </c>
      <c r="I136" t="s">
        <v>27</v>
      </c>
      <c r="J136">
        <v>14116</v>
      </c>
      <c r="K136" t="s">
        <v>32</v>
      </c>
      <c r="L136" t="s">
        <v>28</v>
      </c>
      <c r="M136" t="str">
        <f t="shared" si="2"/>
        <v>Jan</v>
      </c>
    </row>
    <row r="137" spans="1:13" x14ac:dyDescent="0.3">
      <c r="A137" t="s">
        <v>189</v>
      </c>
      <c r="B137" t="s">
        <v>34</v>
      </c>
      <c r="C137" t="s">
        <v>14</v>
      </c>
      <c r="D137">
        <v>36</v>
      </c>
      <c r="E137" t="s">
        <v>61</v>
      </c>
      <c r="F137" t="s">
        <v>16</v>
      </c>
      <c r="G137" s="1">
        <v>46038</v>
      </c>
      <c r="H137" s="1">
        <v>46042</v>
      </c>
      <c r="I137" t="s">
        <v>27</v>
      </c>
      <c r="J137">
        <v>48933</v>
      </c>
      <c r="K137" t="s">
        <v>24</v>
      </c>
      <c r="L137" t="s">
        <v>25</v>
      </c>
      <c r="M137" t="str">
        <f t="shared" si="2"/>
        <v>Jan</v>
      </c>
    </row>
    <row r="138" spans="1:13" x14ac:dyDescent="0.3">
      <c r="A138" t="s">
        <v>190</v>
      </c>
      <c r="B138" t="s">
        <v>21</v>
      </c>
      <c r="C138" t="s">
        <v>14</v>
      </c>
      <c r="D138">
        <v>69</v>
      </c>
      <c r="E138" t="s">
        <v>31</v>
      </c>
      <c r="F138" t="s">
        <v>54</v>
      </c>
      <c r="G138" s="1">
        <v>46198</v>
      </c>
      <c r="H138" s="1">
        <v>46202</v>
      </c>
      <c r="I138" t="s">
        <v>36</v>
      </c>
      <c r="J138">
        <v>43399</v>
      </c>
      <c r="K138" t="s">
        <v>37</v>
      </c>
      <c r="L138" t="s">
        <v>19</v>
      </c>
      <c r="M138" t="str">
        <f t="shared" si="2"/>
        <v>Jun</v>
      </c>
    </row>
    <row r="139" spans="1:13" x14ac:dyDescent="0.3">
      <c r="A139" t="s">
        <v>191</v>
      </c>
      <c r="B139" t="s">
        <v>65</v>
      </c>
      <c r="C139" t="s">
        <v>14</v>
      </c>
      <c r="D139">
        <v>53</v>
      </c>
      <c r="E139" t="s">
        <v>53</v>
      </c>
      <c r="F139" t="s">
        <v>35</v>
      </c>
      <c r="G139" s="1">
        <v>46130</v>
      </c>
      <c r="H139" s="1">
        <v>46140</v>
      </c>
      <c r="I139" t="s">
        <v>63</v>
      </c>
      <c r="J139">
        <v>115412</v>
      </c>
      <c r="K139" t="s">
        <v>37</v>
      </c>
      <c r="L139" t="s">
        <v>25</v>
      </c>
      <c r="M139" t="str">
        <f t="shared" si="2"/>
        <v>Apr</v>
      </c>
    </row>
    <row r="140" spans="1:13" x14ac:dyDescent="0.3">
      <c r="A140" t="s">
        <v>192</v>
      </c>
      <c r="B140" t="s">
        <v>50</v>
      </c>
      <c r="C140" t="s">
        <v>22</v>
      </c>
      <c r="D140">
        <v>64</v>
      </c>
      <c r="E140" t="s">
        <v>45</v>
      </c>
      <c r="F140" t="s">
        <v>23</v>
      </c>
      <c r="G140" s="1">
        <v>46061</v>
      </c>
      <c r="H140" s="1">
        <v>46062</v>
      </c>
      <c r="I140" t="s">
        <v>40</v>
      </c>
      <c r="J140">
        <v>32535</v>
      </c>
      <c r="K140" t="s">
        <v>37</v>
      </c>
      <c r="L140" t="s">
        <v>19</v>
      </c>
      <c r="M140" t="str">
        <f t="shared" si="2"/>
        <v>Feb</v>
      </c>
    </row>
    <row r="141" spans="1:13" x14ac:dyDescent="0.3">
      <c r="A141" t="s">
        <v>193</v>
      </c>
      <c r="B141" t="s">
        <v>65</v>
      </c>
      <c r="C141" t="s">
        <v>22</v>
      </c>
      <c r="D141">
        <v>15</v>
      </c>
      <c r="E141" t="s">
        <v>61</v>
      </c>
      <c r="F141" t="s">
        <v>43</v>
      </c>
      <c r="G141" s="1">
        <v>46088</v>
      </c>
      <c r="H141" s="1">
        <v>46098</v>
      </c>
      <c r="I141" t="s">
        <v>40</v>
      </c>
      <c r="J141">
        <v>11792</v>
      </c>
      <c r="K141" t="s">
        <v>32</v>
      </c>
      <c r="L141" t="s">
        <v>28</v>
      </c>
      <c r="M141" t="str">
        <f t="shared" si="2"/>
        <v>Mar</v>
      </c>
    </row>
    <row r="142" spans="1:13" x14ac:dyDescent="0.3">
      <c r="A142" t="s">
        <v>194</v>
      </c>
      <c r="B142" t="s">
        <v>82</v>
      </c>
      <c r="C142" t="s">
        <v>14</v>
      </c>
      <c r="D142">
        <v>5</v>
      </c>
      <c r="E142" t="s">
        <v>61</v>
      </c>
      <c r="F142" t="s">
        <v>16</v>
      </c>
      <c r="G142" s="1">
        <v>46165</v>
      </c>
      <c r="H142" s="1">
        <v>46171</v>
      </c>
      <c r="I142" t="s">
        <v>27</v>
      </c>
      <c r="J142">
        <v>57760</v>
      </c>
      <c r="K142" t="s">
        <v>32</v>
      </c>
      <c r="L142" t="s">
        <v>28</v>
      </c>
      <c r="M142" t="str">
        <f t="shared" si="2"/>
        <v>May</v>
      </c>
    </row>
    <row r="143" spans="1:13" x14ac:dyDescent="0.3">
      <c r="A143" t="s">
        <v>195</v>
      </c>
      <c r="B143" t="s">
        <v>42</v>
      </c>
      <c r="C143" t="s">
        <v>14</v>
      </c>
      <c r="D143">
        <v>26</v>
      </c>
      <c r="E143" t="s">
        <v>15</v>
      </c>
      <c r="F143" t="s">
        <v>23</v>
      </c>
      <c r="G143" s="1">
        <v>46065</v>
      </c>
      <c r="H143" s="1">
        <v>46070</v>
      </c>
      <c r="I143" t="s">
        <v>17</v>
      </c>
      <c r="J143">
        <v>52599</v>
      </c>
      <c r="K143" t="s">
        <v>32</v>
      </c>
      <c r="L143" t="s">
        <v>28</v>
      </c>
      <c r="M143" t="str">
        <f t="shared" si="2"/>
        <v>Feb</v>
      </c>
    </row>
    <row r="144" spans="1:13" x14ac:dyDescent="0.3">
      <c r="A144" t="s">
        <v>196</v>
      </c>
      <c r="B144" t="s">
        <v>39</v>
      </c>
      <c r="C144" t="s">
        <v>14</v>
      </c>
      <c r="D144">
        <v>19</v>
      </c>
      <c r="E144" t="s">
        <v>48</v>
      </c>
      <c r="F144" t="s">
        <v>43</v>
      </c>
      <c r="G144" s="1">
        <v>46151</v>
      </c>
      <c r="H144" s="1">
        <v>46161</v>
      </c>
      <c r="I144" t="s">
        <v>36</v>
      </c>
      <c r="J144">
        <v>99349</v>
      </c>
      <c r="K144" t="s">
        <v>32</v>
      </c>
      <c r="L144" t="s">
        <v>28</v>
      </c>
      <c r="M144" t="str">
        <f t="shared" si="2"/>
        <v>May</v>
      </c>
    </row>
    <row r="145" spans="1:13" x14ac:dyDescent="0.3">
      <c r="A145" t="s">
        <v>197</v>
      </c>
      <c r="B145" t="s">
        <v>34</v>
      </c>
      <c r="C145" t="s">
        <v>22</v>
      </c>
      <c r="D145">
        <v>56</v>
      </c>
      <c r="E145" t="s">
        <v>53</v>
      </c>
      <c r="F145" t="s">
        <v>35</v>
      </c>
      <c r="G145" s="1">
        <v>46094</v>
      </c>
      <c r="H145" s="1">
        <v>46096</v>
      </c>
      <c r="I145" t="s">
        <v>27</v>
      </c>
      <c r="J145">
        <v>109057</v>
      </c>
      <c r="K145" t="s">
        <v>32</v>
      </c>
      <c r="L145" t="s">
        <v>25</v>
      </c>
      <c r="M145" t="str">
        <f t="shared" si="2"/>
        <v>Mar</v>
      </c>
    </row>
    <row r="146" spans="1:13" x14ac:dyDescent="0.3">
      <c r="A146" t="s">
        <v>198</v>
      </c>
      <c r="B146" t="s">
        <v>42</v>
      </c>
      <c r="C146" t="s">
        <v>22</v>
      </c>
      <c r="D146">
        <v>55</v>
      </c>
      <c r="E146" t="s">
        <v>31</v>
      </c>
      <c r="F146" t="s">
        <v>23</v>
      </c>
      <c r="G146" s="1">
        <v>46113</v>
      </c>
      <c r="H146" s="1">
        <v>46121</v>
      </c>
      <c r="I146" t="s">
        <v>40</v>
      </c>
      <c r="J146">
        <v>37169</v>
      </c>
      <c r="K146" t="s">
        <v>32</v>
      </c>
      <c r="L146" t="s">
        <v>25</v>
      </c>
      <c r="M146" t="str">
        <f t="shared" si="2"/>
        <v>Apr</v>
      </c>
    </row>
    <row r="147" spans="1:13" x14ac:dyDescent="0.3">
      <c r="A147" t="s">
        <v>199</v>
      </c>
      <c r="B147" t="s">
        <v>97</v>
      </c>
      <c r="C147" t="s">
        <v>22</v>
      </c>
      <c r="D147">
        <v>24</v>
      </c>
      <c r="E147" t="s">
        <v>45</v>
      </c>
      <c r="F147" t="s">
        <v>54</v>
      </c>
      <c r="G147" s="1">
        <v>46072</v>
      </c>
      <c r="H147" s="1">
        <v>46073</v>
      </c>
      <c r="I147" t="s">
        <v>51</v>
      </c>
      <c r="J147">
        <v>82562</v>
      </c>
      <c r="K147" t="s">
        <v>24</v>
      </c>
      <c r="L147" t="s">
        <v>19</v>
      </c>
      <c r="M147" t="str">
        <f t="shared" si="2"/>
        <v>Feb</v>
      </c>
    </row>
    <row r="148" spans="1:13" x14ac:dyDescent="0.3">
      <c r="A148" t="s">
        <v>200</v>
      </c>
      <c r="B148" t="s">
        <v>34</v>
      </c>
      <c r="C148" t="s">
        <v>14</v>
      </c>
      <c r="D148">
        <v>50</v>
      </c>
      <c r="E148" t="s">
        <v>61</v>
      </c>
      <c r="F148" t="s">
        <v>23</v>
      </c>
      <c r="G148" s="1">
        <v>46061</v>
      </c>
      <c r="H148" s="1">
        <v>46064</v>
      </c>
      <c r="I148" t="s">
        <v>51</v>
      </c>
      <c r="J148">
        <v>23437</v>
      </c>
      <c r="K148" t="s">
        <v>18</v>
      </c>
      <c r="L148" t="s">
        <v>28</v>
      </c>
      <c r="M148" t="str">
        <f t="shared" si="2"/>
        <v>Feb</v>
      </c>
    </row>
    <row r="149" spans="1:13" x14ac:dyDescent="0.3">
      <c r="A149" t="s">
        <v>201</v>
      </c>
      <c r="B149" t="s">
        <v>39</v>
      </c>
      <c r="C149" t="s">
        <v>14</v>
      </c>
      <c r="D149">
        <v>21</v>
      </c>
      <c r="E149" t="s">
        <v>53</v>
      </c>
      <c r="F149" t="s">
        <v>23</v>
      </c>
      <c r="G149" s="1">
        <v>46093</v>
      </c>
      <c r="H149" s="1">
        <v>46102</v>
      </c>
      <c r="I149" t="s">
        <v>51</v>
      </c>
      <c r="J149">
        <v>8243</v>
      </c>
      <c r="K149" t="s">
        <v>24</v>
      </c>
      <c r="L149" t="s">
        <v>28</v>
      </c>
      <c r="M149" t="str">
        <f t="shared" si="2"/>
        <v>Mar</v>
      </c>
    </row>
    <row r="150" spans="1:13" x14ac:dyDescent="0.3">
      <c r="A150" t="s">
        <v>202</v>
      </c>
      <c r="B150" t="s">
        <v>79</v>
      </c>
      <c r="C150" t="s">
        <v>22</v>
      </c>
      <c r="D150">
        <v>44</v>
      </c>
      <c r="E150" t="s">
        <v>15</v>
      </c>
      <c r="F150" t="s">
        <v>23</v>
      </c>
      <c r="G150" s="1">
        <v>46049</v>
      </c>
      <c r="H150" s="1">
        <v>46059</v>
      </c>
      <c r="I150" t="s">
        <v>51</v>
      </c>
      <c r="J150">
        <v>114170</v>
      </c>
      <c r="K150" t="s">
        <v>18</v>
      </c>
      <c r="L150" t="s">
        <v>28</v>
      </c>
      <c r="M150" t="str">
        <f t="shared" si="2"/>
        <v>Jan</v>
      </c>
    </row>
    <row r="151" spans="1:13" x14ac:dyDescent="0.3">
      <c r="A151" t="s">
        <v>203</v>
      </c>
      <c r="B151" t="s">
        <v>72</v>
      </c>
      <c r="C151" t="s">
        <v>14</v>
      </c>
      <c r="D151">
        <v>68</v>
      </c>
      <c r="E151" t="s">
        <v>61</v>
      </c>
      <c r="F151" t="s">
        <v>35</v>
      </c>
      <c r="G151" s="1">
        <v>46153</v>
      </c>
      <c r="H151" s="1">
        <v>46163</v>
      </c>
      <c r="I151" t="s">
        <v>40</v>
      </c>
      <c r="J151">
        <v>102310</v>
      </c>
      <c r="K151" t="s">
        <v>32</v>
      </c>
      <c r="L151" t="s">
        <v>28</v>
      </c>
      <c r="M151" t="str">
        <f t="shared" si="2"/>
        <v>May</v>
      </c>
    </row>
    <row r="152" spans="1:13" x14ac:dyDescent="0.3">
      <c r="A152" t="s">
        <v>204</v>
      </c>
      <c r="B152" t="s">
        <v>13</v>
      </c>
      <c r="C152" t="s">
        <v>22</v>
      </c>
      <c r="D152">
        <v>71</v>
      </c>
      <c r="E152" t="s">
        <v>53</v>
      </c>
      <c r="F152" t="s">
        <v>16</v>
      </c>
      <c r="G152" s="1">
        <v>46122</v>
      </c>
      <c r="H152" s="1">
        <v>46128</v>
      </c>
      <c r="I152" t="s">
        <v>27</v>
      </c>
      <c r="J152">
        <v>33873</v>
      </c>
      <c r="K152" t="s">
        <v>18</v>
      </c>
      <c r="L152" t="s">
        <v>25</v>
      </c>
      <c r="M152" t="str">
        <f t="shared" si="2"/>
        <v>Apr</v>
      </c>
    </row>
    <row r="153" spans="1:13" x14ac:dyDescent="0.3">
      <c r="A153" t="s">
        <v>205</v>
      </c>
      <c r="B153" t="s">
        <v>21</v>
      </c>
      <c r="C153" t="s">
        <v>22</v>
      </c>
      <c r="D153">
        <v>28</v>
      </c>
      <c r="E153" t="s">
        <v>48</v>
      </c>
      <c r="F153" t="s">
        <v>35</v>
      </c>
      <c r="G153" s="1">
        <v>46062</v>
      </c>
      <c r="H153" s="1">
        <v>46067</v>
      </c>
      <c r="I153" t="s">
        <v>51</v>
      </c>
      <c r="J153">
        <v>65314</v>
      </c>
      <c r="K153" t="s">
        <v>24</v>
      </c>
      <c r="L153" t="s">
        <v>25</v>
      </c>
      <c r="M153" t="str">
        <f t="shared" si="2"/>
        <v>Feb</v>
      </c>
    </row>
    <row r="154" spans="1:13" x14ac:dyDescent="0.3">
      <c r="A154" t="s">
        <v>206</v>
      </c>
      <c r="B154" t="s">
        <v>57</v>
      </c>
      <c r="C154" t="s">
        <v>22</v>
      </c>
      <c r="D154">
        <v>43</v>
      </c>
      <c r="E154" t="s">
        <v>15</v>
      </c>
      <c r="F154" t="s">
        <v>43</v>
      </c>
      <c r="G154" s="1">
        <v>46103</v>
      </c>
      <c r="H154" s="1">
        <v>46109</v>
      </c>
      <c r="I154" t="s">
        <v>40</v>
      </c>
      <c r="J154">
        <v>10656</v>
      </c>
      <c r="K154" t="s">
        <v>32</v>
      </c>
      <c r="L154" t="s">
        <v>25</v>
      </c>
      <c r="M154" t="str">
        <f t="shared" si="2"/>
        <v>Mar</v>
      </c>
    </row>
    <row r="155" spans="1:13" x14ac:dyDescent="0.3">
      <c r="A155" t="s">
        <v>207</v>
      </c>
      <c r="B155" t="s">
        <v>57</v>
      </c>
      <c r="C155" t="s">
        <v>14</v>
      </c>
      <c r="D155">
        <v>32</v>
      </c>
      <c r="E155" t="s">
        <v>53</v>
      </c>
      <c r="F155" t="s">
        <v>16</v>
      </c>
      <c r="G155" s="1">
        <v>46162</v>
      </c>
      <c r="H155" s="1">
        <v>46171</v>
      </c>
      <c r="I155" t="s">
        <v>17</v>
      </c>
      <c r="J155">
        <v>69490</v>
      </c>
      <c r="K155" t="s">
        <v>37</v>
      </c>
      <c r="L155" t="s">
        <v>19</v>
      </c>
      <c r="M155" t="str">
        <f t="shared" si="2"/>
        <v>May</v>
      </c>
    </row>
    <row r="156" spans="1:13" x14ac:dyDescent="0.3">
      <c r="A156" t="s">
        <v>208</v>
      </c>
      <c r="B156" t="s">
        <v>60</v>
      </c>
      <c r="C156" t="s">
        <v>14</v>
      </c>
      <c r="D156">
        <v>29</v>
      </c>
      <c r="E156" t="s">
        <v>48</v>
      </c>
      <c r="F156" t="s">
        <v>43</v>
      </c>
      <c r="G156" s="1">
        <v>46173</v>
      </c>
      <c r="H156" s="1">
        <v>46181</v>
      </c>
      <c r="I156" t="s">
        <v>51</v>
      </c>
      <c r="J156">
        <v>65424</v>
      </c>
      <c r="K156" t="s">
        <v>18</v>
      </c>
      <c r="L156" t="s">
        <v>25</v>
      </c>
      <c r="M156" t="str">
        <f t="shared" si="2"/>
        <v>May</v>
      </c>
    </row>
    <row r="157" spans="1:13" x14ac:dyDescent="0.3">
      <c r="A157" t="s">
        <v>209</v>
      </c>
      <c r="B157" t="s">
        <v>34</v>
      </c>
      <c r="C157" t="s">
        <v>22</v>
      </c>
      <c r="D157">
        <v>34</v>
      </c>
      <c r="E157" t="s">
        <v>15</v>
      </c>
      <c r="F157" t="s">
        <v>23</v>
      </c>
      <c r="G157" s="1">
        <v>46049</v>
      </c>
      <c r="H157" s="1">
        <v>46051</v>
      </c>
      <c r="I157" t="s">
        <v>36</v>
      </c>
      <c r="J157">
        <v>68892</v>
      </c>
      <c r="K157" t="s">
        <v>18</v>
      </c>
      <c r="L157" t="s">
        <v>25</v>
      </c>
      <c r="M157" t="str">
        <f t="shared" si="2"/>
        <v>Jan</v>
      </c>
    </row>
    <row r="158" spans="1:13" x14ac:dyDescent="0.3">
      <c r="A158" t="s">
        <v>210</v>
      </c>
      <c r="B158" t="s">
        <v>13</v>
      </c>
      <c r="C158" t="s">
        <v>22</v>
      </c>
      <c r="D158">
        <v>60</v>
      </c>
      <c r="E158" t="s">
        <v>53</v>
      </c>
      <c r="F158" t="s">
        <v>35</v>
      </c>
      <c r="G158" s="1">
        <v>46112</v>
      </c>
      <c r="H158" s="1">
        <v>46114</v>
      </c>
      <c r="I158" t="s">
        <v>40</v>
      </c>
      <c r="J158">
        <v>47686</v>
      </c>
      <c r="K158" t="s">
        <v>18</v>
      </c>
      <c r="L158" t="s">
        <v>19</v>
      </c>
      <c r="M158" t="str">
        <f t="shared" si="2"/>
        <v>Mar</v>
      </c>
    </row>
    <row r="159" spans="1:13" x14ac:dyDescent="0.3">
      <c r="A159" t="s">
        <v>211</v>
      </c>
      <c r="B159" t="s">
        <v>21</v>
      </c>
      <c r="C159" t="s">
        <v>14</v>
      </c>
      <c r="D159">
        <v>77</v>
      </c>
      <c r="E159" t="s">
        <v>48</v>
      </c>
      <c r="F159" t="s">
        <v>43</v>
      </c>
      <c r="G159" s="1">
        <v>46115</v>
      </c>
      <c r="H159" s="1">
        <v>46120</v>
      </c>
      <c r="I159" t="s">
        <v>36</v>
      </c>
      <c r="J159">
        <v>23241</v>
      </c>
      <c r="K159" t="s">
        <v>24</v>
      </c>
      <c r="L159" t="s">
        <v>25</v>
      </c>
      <c r="M159" t="str">
        <f t="shared" si="2"/>
        <v>Apr</v>
      </c>
    </row>
    <row r="160" spans="1:13" x14ac:dyDescent="0.3">
      <c r="A160" t="s">
        <v>212</v>
      </c>
      <c r="B160" t="s">
        <v>50</v>
      </c>
      <c r="C160" t="s">
        <v>22</v>
      </c>
      <c r="D160">
        <v>15</v>
      </c>
      <c r="E160" t="s">
        <v>48</v>
      </c>
      <c r="F160" t="s">
        <v>16</v>
      </c>
      <c r="G160" s="1">
        <v>46179</v>
      </c>
      <c r="H160" s="1">
        <v>46181</v>
      </c>
      <c r="I160" t="s">
        <v>40</v>
      </c>
      <c r="J160">
        <v>66075</v>
      </c>
      <c r="K160" t="s">
        <v>37</v>
      </c>
      <c r="L160" t="s">
        <v>28</v>
      </c>
      <c r="M160" t="str">
        <f t="shared" si="2"/>
        <v>Jun</v>
      </c>
    </row>
    <row r="161" spans="1:13" x14ac:dyDescent="0.3">
      <c r="A161" t="s">
        <v>213</v>
      </c>
      <c r="B161" t="s">
        <v>60</v>
      </c>
      <c r="C161" t="s">
        <v>14</v>
      </c>
      <c r="D161">
        <v>77</v>
      </c>
      <c r="E161" t="s">
        <v>48</v>
      </c>
      <c r="F161" t="s">
        <v>54</v>
      </c>
      <c r="G161" s="1">
        <v>46119</v>
      </c>
      <c r="H161" s="1">
        <v>46123</v>
      </c>
      <c r="I161" t="s">
        <v>40</v>
      </c>
      <c r="J161">
        <v>87477</v>
      </c>
      <c r="K161" t="s">
        <v>24</v>
      </c>
      <c r="L161" t="s">
        <v>25</v>
      </c>
      <c r="M161" t="str">
        <f t="shared" si="2"/>
        <v>Apr</v>
      </c>
    </row>
    <row r="162" spans="1:13" x14ac:dyDescent="0.3">
      <c r="A162" t="s">
        <v>214</v>
      </c>
      <c r="B162" t="s">
        <v>82</v>
      </c>
      <c r="C162" t="s">
        <v>14</v>
      </c>
      <c r="D162">
        <v>68</v>
      </c>
      <c r="E162" t="s">
        <v>53</v>
      </c>
      <c r="F162" t="s">
        <v>16</v>
      </c>
      <c r="G162" s="1">
        <v>46178</v>
      </c>
      <c r="H162" s="1">
        <v>46184</v>
      </c>
      <c r="I162" t="s">
        <v>51</v>
      </c>
      <c r="J162">
        <v>20428</v>
      </c>
      <c r="K162" t="s">
        <v>32</v>
      </c>
      <c r="L162" t="s">
        <v>28</v>
      </c>
      <c r="M162" t="str">
        <f t="shared" si="2"/>
        <v>Jun</v>
      </c>
    </row>
    <row r="163" spans="1:13" x14ac:dyDescent="0.3">
      <c r="A163" t="s">
        <v>215</v>
      </c>
      <c r="B163" t="s">
        <v>72</v>
      </c>
      <c r="C163" t="s">
        <v>22</v>
      </c>
      <c r="D163">
        <v>73</v>
      </c>
      <c r="E163" t="s">
        <v>61</v>
      </c>
      <c r="F163" t="s">
        <v>43</v>
      </c>
      <c r="G163" s="1">
        <v>46116</v>
      </c>
      <c r="H163" s="1">
        <v>46121</v>
      </c>
      <c r="I163" t="s">
        <v>40</v>
      </c>
      <c r="J163">
        <v>89836</v>
      </c>
      <c r="K163" t="s">
        <v>18</v>
      </c>
      <c r="L163" t="s">
        <v>25</v>
      </c>
      <c r="M163" t="str">
        <f t="shared" si="2"/>
        <v>Apr</v>
      </c>
    </row>
    <row r="164" spans="1:13" x14ac:dyDescent="0.3">
      <c r="A164" t="s">
        <v>216</v>
      </c>
      <c r="B164" t="s">
        <v>47</v>
      </c>
      <c r="C164" t="s">
        <v>22</v>
      </c>
      <c r="D164">
        <v>44</v>
      </c>
      <c r="E164" t="s">
        <v>45</v>
      </c>
      <c r="F164" t="s">
        <v>54</v>
      </c>
      <c r="G164" s="1">
        <v>46102</v>
      </c>
      <c r="H164" s="1">
        <v>46109</v>
      </c>
      <c r="I164" t="s">
        <v>36</v>
      </c>
      <c r="J164">
        <v>34134</v>
      </c>
      <c r="K164" t="s">
        <v>32</v>
      </c>
      <c r="L164" t="s">
        <v>28</v>
      </c>
      <c r="M164" t="str">
        <f t="shared" si="2"/>
        <v>Mar</v>
      </c>
    </row>
    <row r="165" spans="1:13" x14ac:dyDescent="0.3">
      <c r="A165" t="s">
        <v>217</v>
      </c>
      <c r="B165" t="s">
        <v>39</v>
      </c>
      <c r="C165" t="s">
        <v>22</v>
      </c>
      <c r="D165">
        <v>28</v>
      </c>
      <c r="E165" t="s">
        <v>53</v>
      </c>
      <c r="F165" t="s">
        <v>16</v>
      </c>
      <c r="G165" s="1">
        <v>46177</v>
      </c>
      <c r="H165" s="1">
        <v>46178</v>
      </c>
      <c r="I165" t="s">
        <v>17</v>
      </c>
      <c r="J165">
        <v>103988</v>
      </c>
      <c r="K165" t="s">
        <v>37</v>
      </c>
      <c r="L165" t="s">
        <v>25</v>
      </c>
      <c r="M165" t="str">
        <f t="shared" si="2"/>
        <v>Jun</v>
      </c>
    </row>
    <row r="166" spans="1:13" x14ac:dyDescent="0.3">
      <c r="A166" t="s">
        <v>218</v>
      </c>
      <c r="B166" t="s">
        <v>65</v>
      </c>
      <c r="C166" t="s">
        <v>22</v>
      </c>
      <c r="D166">
        <v>80</v>
      </c>
      <c r="E166" t="s">
        <v>53</v>
      </c>
      <c r="F166" t="s">
        <v>54</v>
      </c>
      <c r="G166" s="1">
        <v>46138</v>
      </c>
      <c r="H166" s="1">
        <v>46141</v>
      </c>
      <c r="I166" t="s">
        <v>17</v>
      </c>
      <c r="J166">
        <v>43905</v>
      </c>
      <c r="K166" t="s">
        <v>32</v>
      </c>
      <c r="L166" t="s">
        <v>28</v>
      </c>
      <c r="M166" t="str">
        <f t="shared" si="2"/>
        <v>Apr</v>
      </c>
    </row>
    <row r="167" spans="1:13" x14ac:dyDescent="0.3">
      <c r="A167" t="s">
        <v>219</v>
      </c>
      <c r="B167" t="s">
        <v>50</v>
      </c>
      <c r="C167" t="s">
        <v>14</v>
      </c>
      <c r="D167">
        <v>40</v>
      </c>
      <c r="E167" t="s">
        <v>15</v>
      </c>
      <c r="F167" t="s">
        <v>16</v>
      </c>
      <c r="G167" s="1">
        <v>46062</v>
      </c>
      <c r="H167" s="1">
        <v>46068</v>
      </c>
      <c r="I167" t="s">
        <v>40</v>
      </c>
      <c r="J167">
        <v>52985</v>
      </c>
      <c r="K167" t="s">
        <v>37</v>
      </c>
      <c r="L167" t="s">
        <v>28</v>
      </c>
      <c r="M167" t="str">
        <f t="shared" si="2"/>
        <v>Feb</v>
      </c>
    </row>
    <row r="168" spans="1:13" x14ac:dyDescent="0.3">
      <c r="A168" t="s">
        <v>220</v>
      </c>
      <c r="B168" t="s">
        <v>21</v>
      </c>
      <c r="C168" t="s">
        <v>14</v>
      </c>
      <c r="D168">
        <v>54</v>
      </c>
      <c r="E168" t="s">
        <v>31</v>
      </c>
      <c r="F168" t="s">
        <v>16</v>
      </c>
      <c r="G168" s="1">
        <v>46159</v>
      </c>
      <c r="H168" s="1">
        <v>46168</v>
      </c>
      <c r="I168" t="s">
        <v>40</v>
      </c>
      <c r="J168">
        <v>29828</v>
      </c>
      <c r="K168" t="s">
        <v>37</v>
      </c>
      <c r="L168" t="s">
        <v>25</v>
      </c>
      <c r="M168" t="str">
        <f t="shared" si="2"/>
        <v>May</v>
      </c>
    </row>
    <row r="169" spans="1:13" x14ac:dyDescent="0.3">
      <c r="A169" t="s">
        <v>221</v>
      </c>
      <c r="B169" t="s">
        <v>125</v>
      </c>
      <c r="C169" t="s">
        <v>14</v>
      </c>
      <c r="D169">
        <v>77</v>
      </c>
      <c r="E169" t="s">
        <v>61</v>
      </c>
      <c r="F169" t="s">
        <v>35</v>
      </c>
      <c r="G169" s="1">
        <v>46147</v>
      </c>
      <c r="H169" s="1">
        <v>46153</v>
      </c>
      <c r="I169" t="s">
        <v>36</v>
      </c>
      <c r="J169">
        <v>74623</v>
      </c>
      <c r="K169" t="s">
        <v>24</v>
      </c>
      <c r="L169" t="s">
        <v>25</v>
      </c>
      <c r="M169" t="str">
        <f t="shared" si="2"/>
        <v>May</v>
      </c>
    </row>
    <row r="170" spans="1:13" x14ac:dyDescent="0.3">
      <c r="A170" t="s">
        <v>222</v>
      </c>
      <c r="B170" t="s">
        <v>21</v>
      </c>
      <c r="C170" t="s">
        <v>22</v>
      </c>
      <c r="D170">
        <v>30</v>
      </c>
      <c r="E170" t="s">
        <v>53</v>
      </c>
      <c r="F170" t="s">
        <v>16</v>
      </c>
      <c r="G170" s="1">
        <v>46131</v>
      </c>
      <c r="H170" s="1">
        <v>46132</v>
      </c>
      <c r="I170" t="s">
        <v>51</v>
      </c>
      <c r="J170">
        <v>9218</v>
      </c>
      <c r="K170" t="s">
        <v>32</v>
      </c>
      <c r="L170" t="s">
        <v>28</v>
      </c>
      <c r="M170" t="str">
        <f t="shared" si="2"/>
        <v>Apr</v>
      </c>
    </row>
    <row r="171" spans="1:13" x14ac:dyDescent="0.3">
      <c r="A171" t="s">
        <v>223</v>
      </c>
      <c r="B171" t="s">
        <v>72</v>
      </c>
      <c r="C171" t="s">
        <v>22</v>
      </c>
      <c r="D171">
        <v>48</v>
      </c>
      <c r="E171" t="s">
        <v>45</v>
      </c>
      <c r="F171" t="s">
        <v>23</v>
      </c>
      <c r="G171" s="1">
        <v>46164</v>
      </c>
      <c r="H171" s="1">
        <v>46165</v>
      </c>
      <c r="I171" t="s">
        <v>17</v>
      </c>
      <c r="J171">
        <v>89313</v>
      </c>
      <c r="K171" t="s">
        <v>18</v>
      </c>
      <c r="L171" t="s">
        <v>19</v>
      </c>
      <c r="M171" t="str">
        <f t="shared" si="2"/>
        <v>May</v>
      </c>
    </row>
    <row r="172" spans="1:13" x14ac:dyDescent="0.3">
      <c r="A172" t="s">
        <v>224</v>
      </c>
      <c r="B172" t="s">
        <v>65</v>
      </c>
      <c r="C172" t="s">
        <v>14</v>
      </c>
      <c r="D172">
        <v>52</v>
      </c>
      <c r="E172" t="s">
        <v>31</v>
      </c>
      <c r="F172" t="s">
        <v>16</v>
      </c>
      <c r="G172" s="1">
        <v>46035</v>
      </c>
      <c r="H172" s="1">
        <v>46038</v>
      </c>
      <c r="I172" t="s">
        <v>63</v>
      </c>
      <c r="J172">
        <v>101221</v>
      </c>
      <c r="K172" t="s">
        <v>37</v>
      </c>
      <c r="L172" t="s">
        <v>28</v>
      </c>
      <c r="M172" t="str">
        <f t="shared" si="2"/>
        <v>Jan</v>
      </c>
    </row>
    <row r="173" spans="1:13" x14ac:dyDescent="0.3">
      <c r="A173" t="s">
        <v>225</v>
      </c>
      <c r="B173" t="s">
        <v>47</v>
      </c>
      <c r="C173" t="s">
        <v>14</v>
      </c>
      <c r="D173">
        <v>13</v>
      </c>
      <c r="E173" t="s">
        <v>45</v>
      </c>
      <c r="F173" t="s">
        <v>35</v>
      </c>
      <c r="G173" s="1">
        <v>46046</v>
      </c>
      <c r="H173" s="1">
        <v>46050</v>
      </c>
      <c r="I173" t="s">
        <v>63</v>
      </c>
      <c r="J173">
        <v>42943</v>
      </c>
      <c r="K173" t="s">
        <v>18</v>
      </c>
      <c r="L173" t="s">
        <v>25</v>
      </c>
      <c r="M173" t="str">
        <f t="shared" si="2"/>
        <v>Jan</v>
      </c>
    </row>
    <row r="174" spans="1:13" x14ac:dyDescent="0.3">
      <c r="A174" t="s">
        <v>226</v>
      </c>
      <c r="B174" t="s">
        <v>65</v>
      </c>
      <c r="C174" t="s">
        <v>14</v>
      </c>
      <c r="D174">
        <v>35</v>
      </c>
      <c r="E174" t="s">
        <v>45</v>
      </c>
      <c r="F174" t="s">
        <v>43</v>
      </c>
      <c r="G174" s="1">
        <v>46061</v>
      </c>
      <c r="H174" s="1">
        <v>46063</v>
      </c>
      <c r="I174" t="s">
        <v>51</v>
      </c>
      <c r="J174">
        <v>77971</v>
      </c>
      <c r="K174" t="s">
        <v>18</v>
      </c>
      <c r="L174" t="s">
        <v>25</v>
      </c>
      <c r="M174" t="str">
        <f t="shared" si="2"/>
        <v>Feb</v>
      </c>
    </row>
    <row r="175" spans="1:13" x14ac:dyDescent="0.3">
      <c r="A175" t="s">
        <v>227</v>
      </c>
      <c r="B175" t="s">
        <v>97</v>
      </c>
      <c r="C175" t="s">
        <v>22</v>
      </c>
      <c r="D175">
        <v>30</v>
      </c>
      <c r="E175" t="s">
        <v>53</v>
      </c>
      <c r="F175" t="s">
        <v>16</v>
      </c>
      <c r="G175" s="1">
        <v>46096</v>
      </c>
      <c r="H175" s="1">
        <v>46105</v>
      </c>
      <c r="I175" t="s">
        <v>27</v>
      </c>
      <c r="J175">
        <v>21467</v>
      </c>
      <c r="K175" t="s">
        <v>32</v>
      </c>
      <c r="L175" t="s">
        <v>25</v>
      </c>
      <c r="M175" t="str">
        <f t="shared" si="2"/>
        <v>Mar</v>
      </c>
    </row>
    <row r="176" spans="1:13" x14ac:dyDescent="0.3">
      <c r="A176" t="s">
        <v>228</v>
      </c>
      <c r="B176" t="s">
        <v>50</v>
      </c>
      <c r="C176" t="s">
        <v>14</v>
      </c>
      <c r="D176">
        <v>8</v>
      </c>
      <c r="E176" t="s">
        <v>53</v>
      </c>
      <c r="F176" t="s">
        <v>23</v>
      </c>
      <c r="G176" s="1">
        <v>46157</v>
      </c>
      <c r="H176" s="1">
        <v>46162</v>
      </c>
      <c r="I176" t="s">
        <v>63</v>
      </c>
      <c r="J176">
        <v>88817</v>
      </c>
      <c r="K176" t="s">
        <v>18</v>
      </c>
      <c r="L176" t="s">
        <v>19</v>
      </c>
      <c r="M176" t="str">
        <f t="shared" si="2"/>
        <v>May</v>
      </c>
    </row>
    <row r="177" spans="1:13" x14ac:dyDescent="0.3">
      <c r="A177" t="s">
        <v>229</v>
      </c>
      <c r="B177" t="s">
        <v>82</v>
      </c>
      <c r="C177" t="s">
        <v>22</v>
      </c>
      <c r="D177">
        <v>55</v>
      </c>
      <c r="E177" t="s">
        <v>31</v>
      </c>
      <c r="F177" t="s">
        <v>16</v>
      </c>
      <c r="G177" s="1">
        <v>46076</v>
      </c>
      <c r="H177" s="1">
        <v>46080</v>
      </c>
      <c r="I177" t="s">
        <v>36</v>
      </c>
      <c r="J177">
        <v>66127</v>
      </c>
      <c r="K177" t="s">
        <v>18</v>
      </c>
      <c r="L177" t="s">
        <v>19</v>
      </c>
      <c r="M177" t="str">
        <f t="shared" si="2"/>
        <v>Feb</v>
      </c>
    </row>
    <row r="178" spans="1:13" x14ac:dyDescent="0.3">
      <c r="A178" t="s">
        <v>230</v>
      </c>
      <c r="B178" t="s">
        <v>30</v>
      </c>
      <c r="C178" t="s">
        <v>22</v>
      </c>
      <c r="D178">
        <v>28</v>
      </c>
      <c r="E178" t="s">
        <v>48</v>
      </c>
      <c r="F178" t="s">
        <v>35</v>
      </c>
      <c r="G178" s="1">
        <v>46023</v>
      </c>
      <c r="H178" s="1">
        <v>46025</v>
      </c>
      <c r="I178" t="s">
        <v>27</v>
      </c>
      <c r="J178">
        <v>37239</v>
      </c>
      <c r="K178" t="s">
        <v>32</v>
      </c>
      <c r="L178" t="s">
        <v>25</v>
      </c>
      <c r="M178" t="str">
        <f t="shared" si="2"/>
        <v>Jan</v>
      </c>
    </row>
    <row r="179" spans="1:13" x14ac:dyDescent="0.3">
      <c r="A179" t="s">
        <v>231</v>
      </c>
      <c r="B179" t="s">
        <v>39</v>
      </c>
      <c r="C179" t="s">
        <v>14</v>
      </c>
      <c r="D179">
        <v>25</v>
      </c>
      <c r="E179" t="s">
        <v>48</v>
      </c>
      <c r="F179" t="s">
        <v>16</v>
      </c>
      <c r="G179" s="1">
        <v>46181</v>
      </c>
      <c r="H179" s="1">
        <v>46185</v>
      </c>
      <c r="I179" t="s">
        <v>51</v>
      </c>
      <c r="J179">
        <v>94400</v>
      </c>
      <c r="K179" t="s">
        <v>18</v>
      </c>
      <c r="L179" t="s">
        <v>25</v>
      </c>
      <c r="M179" t="str">
        <f t="shared" si="2"/>
        <v>Jun</v>
      </c>
    </row>
    <row r="180" spans="1:13" x14ac:dyDescent="0.3">
      <c r="A180" t="s">
        <v>232</v>
      </c>
      <c r="B180" t="s">
        <v>60</v>
      </c>
      <c r="C180" t="s">
        <v>22</v>
      </c>
      <c r="D180">
        <v>13</v>
      </c>
      <c r="E180" t="s">
        <v>61</v>
      </c>
      <c r="F180" t="s">
        <v>43</v>
      </c>
      <c r="G180" s="1">
        <v>46049</v>
      </c>
      <c r="H180" s="1">
        <v>46057</v>
      </c>
      <c r="I180" t="s">
        <v>27</v>
      </c>
      <c r="J180">
        <v>34577</v>
      </c>
      <c r="K180" t="s">
        <v>32</v>
      </c>
      <c r="L180" t="s">
        <v>25</v>
      </c>
      <c r="M180" t="str">
        <f t="shared" si="2"/>
        <v>Jan</v>
      </c>
    </row>
    <row r="181" spans="1:13" x14ac:dyDescent="0.3">
      <c r="A181" t="s">
        <v>233</v>
      </c>
      <c r="B181" t="s">
        <v>65</v>
      </c>
      <c r="C181" t="s">
        <v>22</v>
      </c>
      <c r="D181">
        <v>38</v>
      </c>
      <c r="E181" t="s">
        <v>61</v>
      </c>
      <c r="F181" t="s">
        <v>16</v>
      </c>
      <c r="G181" s="1">
        <v>46197</v>
      </c>
      <c r="H181" s="1">
        <v>46205</v>
      </c>
      <c r="I181" t="s">
        <v>51</v>
      </c>
      <c r="J181">
        <v>16491</v>
      </c>
      <c r="K181" t="s">
        <v>32</v>
      </c>
      <c r="L181" t="s">
        <v>28</v>
      </c>
      <c r="M181" t="str">
        <f t="shared" si="2"/>
        <v>Jun</v>
      </c>
    </row>
    <row r="182" spans="1:13" x14ac:dyDescent="0.3">
      <c r="A182" t="s">
        <v>234</v>
      </c>
      <c r="B182" t="s">
        <v>39</v>
      </c>
      <c r="C182" t="s">
        <v>22</v>
      </c>
      <c r="D182">
        <v>43</v>
      </c>
      <c r="E182" t="s">
        <v>15</v>
      </c>
      <c r="F182" t="s">
        <v>16</v>
      </c>
      <c r="G182" s="1">
        <v>46123</v>
      </c>
      <c r="H182" s="1">
        <v>46124</v>
      </c>
      <c r="I182" t="s">
        <v>63</v>
      </c>
      <c r="J182">
        <v>46268</v>
      </c>
      <c r="K182" t="s">
        <v>32</v>
      </c>
      <c r="L182" t="s">
        <v>19</v>
      </c>
      <c r="M182" t="str">
        <f t="shared" si="2"/>
        <v>Apr</v>
      </c>
    </row>
    <row r="183" spans="1:13" x14ac:dyDescent="0.3">
      <c r="A183" t="s">
        <v>235</v>
      </c>
      <c r="B183" t="s">
        <v>57</v>
      </c>
      <c r="C183" t="s">
        <v>22</v>
      </c>
      <c r="D183">
        <v>69</v>
      </c>
      <c r="E183" t="s">
        <v>48</v>
      </c>
      <c r="F183" t="s">
        <v>43</v>
      </c>
      <c r="G183" s="1">
        <v>46155</v>
      </c>
      <c r="H183" s="1">
        <v>46159</v>
      </c>
      <c r="I183" t="s">
        <v>40</v>
      </c>
      <c r="J183">
        <v>13344</v>
      </c>
      <c r="K183" t="s">
        <v>24</v>
      </c>
      <c r="L183" t="s">
        <v>28</v>
      </c>
      <c r="M183" t="str">
        <f t="shared" si="2"/>
        <v>May</v>
      </c>
    </row>
    <row r="184" spans="1:13" x14ac:dyDescent="0.3">
      <c r="A184" t="s">
        <v>236</v>
      </c>
      <c r="B184" t="s">
        <v>65</v>
      </c>
      <c r="C184" t="s">
        <v>22</v>
      </c>
      <c r="D184">
        <v>69</v>
      </c>
      <c r="E184" t="s">
        <v>31</v>
      </c>
      <c r="F184" t="s">
        <v>23</v>
      </c>
      <c r="G184" s="1">
        <v>46065</v>
      </c>
      <c r="H184" s="1">
        <v>46070</v>
      </c>
      <c r="I184" t="s">
        <v>17</v>
      </c>
      <c r="J184">
        <v>57020</v>
      </c>
      <c r="K184" t="s">
        <v>24</v>
      </c>
      <c r="L184" t="s">
        <v>28</v>
      </c>
      <c r="M184" t="str">
        <f t="shared" si="2"/>
        <v>Feb</v>
      </c>
    </row>
    <row r="185" spans="1:13" x14ac:dyDescent="0.3">
      <c r="A185" t="s">
        <v>237</v>
      </c>
      <c r="B185" t="s">
        <v>34</v>
      </c>
      <c r="C185" t="s">
        <v>14</v>
      </c>
      <c r="D185">
        <v>30</v>
      </c>
      <c r="E185" t="s">
        <v>48</v>
      </c>
      <c r="F185" t="s">
        <v>16</v>
      </c>
      <c r="G185" s="1">
        <v>46042</v>
      </c>
      <c r="H185" s="1">
        <v>46044</v>
      </c>
      <c r="I185" t="s">
        <v>51</v>
      </c>
      <c r="J185">
        <v>47503</v>
      </c>
      <c r="K185" t="s">
        <v>32</v>
      </c>
      <c r="L185" t="s">
        <v>19</v>
      </c>
      <c r="M185" t="str">
        <f t="shared" si="2"/>
        <v>Jan</v>
      </c>
    </row>
    <row r="186" spans="1:13" x14ac:dyDescent="0.3">
      <c r="A186" t="s">
        <v>238</v>
      </c>
      <c r="B186" t="s">
        <v>57</v>
      </c>
      <c r="C186" t="s">
        <v>14</v>
      </c>
      <c r="D186">
        <v>76</v>
      </c>
      <c r="E186" t="s">
        <v>15</v>
      </c>
      <c r="F186" t="s">
        <v>23</v>
      </c>
      <c r="G186" s="1">
        <v>46082</v>
      </c>
      <c r="H186" s="1">
        <v>46090</v>
      </c>
      <c r="I186" t="s">
        <v>27</v>
      </c>
      <c r="J186">
        <v>48937</v>
      </c>
      <c r="K186" t="s">
        <v>24</v>
      </c>
      <c r="L186" t="s">
        <v>19</v>
      </c>
      <c r="M186" t="str">
        <f t="shared" si="2"/>
        <v>Mar</v>
      </c>
    </row>
    <row r="187" spans="1:13" x14ac:dyDescent="0.3">
      <c r="A187" t="s">
        <v>239</v>
      </c>
      <c r="B187" t="s">
        <v>65</v>
      </c>
      <c r="C187" t="s">
        <v>22</v>
      </c>
      <c r="D187">
        <v>8</v>
      </c>
      <c r="E187" t="s">
        <v>45</v>
      </c>
      <c r="F187" t="s">
        <v>16</v>
      </c>
      <c r="G187" s="1">
        <v>46045</v>
      </c>
      <c r="H187" s="1">
        <v>46052</v>
      </c>
      <c r="I187" t="s">
        <v>51</v>
      </c>
      <c r="J187">
        <v>107713</v>
      </c>
      <c r="K187" t="s">
        <v>37</v>
      </c>
      <c r="L187" t="s">
        <v>28</v>
      </c>
      <c r="M187" t="str">
        <f t="shared" si="2"/>
        <v>Jan</v>
      </c>
    </row>
    <row r="188" spans="1:13" x14ac:dyDescent="0.3">
      <c r="A188" t="s">
        <v>240</v>
      </c>
      <c r="B188" t="s">
        <v>60</v>
      </c>
      <c r="C188" t="s">
        <v>22</v>
      </c>
      <c r="D188">
        <v>16</v>
      </c>
      <c r="E188" t="s">
        <v>53</v>
      </c>
      <c r="F188" t="s">
        <v>54</v>
      </c>
      <c r="G188" s="1">
        <v>46149</v>
      </c>
      <c r="H188" s="1">
        <v>46150</v>
      </c>
      <c r="I188" t="s">
        <v>27</v>
      </c>
      <c r="J188">
        <v>103999</v>
      </c>
      <c r="K188" t="s">
        <v>32</v>
      </c>
      <c r="L188" t="s">
        <v>28</v>
      </c>
      <c r="M188" t="str">
        <f t="shared" si="2"/>
        <v>May</v>
      </c>
    </row>
    <row r="189" spans="1:13" x14ac:dyDescent="0.3">
      <c r="A189" t="s">
        <v>241</v>
      </c>
      <c r="B189" t="s">
        <v>47</v>
      </c>
      <c r="C189" t="s">
        <v>14</v>
      </c>
      <c r="D189">
        <v>29</v>
      </c>
      <c r="E189" t="s">
        <v>45</v>
      </c>
      <c r="F189" t="s">
        <v>16</v>
      </c>
      <c r="G189" s="1">
        <v>46120</v>
      </c>
      <c r="H189" s="1">
        <v>46123</v>
      </c>
      <c r="I189" t="s">
        <v>17</v>
      </c>
      <c r="J189">
        <v>65924</v>
      </c>
      <c r="K189" t="s">
        <v>32</v>
      </c>
      <c r="L189" t="s">
        <v>28</v>
      </c>
      <c r="M189" t="str">
        <f t="shared" si="2"/>
        <v>Apr</v>
      </c>
    </row>
    <row r="190" spans="1:13" x14ac:dyDescent="0.3">
      <c r="A190" t="s">
        <v>242</v>
      </c>
      <c r="B190" t="s">
        <v>50</v>
      </c>
      <c r="C190" t="s">
        <v>22</v>
      </c>
      <c r="D190">
        <v>55</v>
      </c>
      <c r="E190" t="s">
        <v>61</v>
      </c>
      <c r="F190" t="s">
        <v>23</v>
      </c>
      <c r="G190" s="1">
        <v>46121</v>
      </c>
      <c r="H190" s="1">
        <v>46128</v>
      </c>
      <c r="I190" t="s">
        <v>51</v>
      </c>
      <c r="J190">
        <v>57022</v>
      </c>
      <c r="K190" t="s">
        <v>18</v>
      </c>
      <c r="L190" t="s">
        <v>19</v>
      </c>
      <c r="M190" t="str">
        <f t="shared" si="2"/>
        <v>Apr</v>
      </c>
    </row>
    <row r="191" spans="1:13" x14ac:dyDescent="0.3">
      <c r="A191" t="s">
        <v>243</v>
      </c>
      <c r="B191" t="s">
        <v>21</v>
      </c>
      <c r="C191" t="s">
        <v>14</v>
      </c>
      <c r="D191">
        <v>34</v>
      </c>
      <c r="E191" t="s">
        <v>48</v>
      </c>
      <c r="F191" t="s">
        <v>54</v>
      </c>
      <c r="G191" s="1">
        <v>46166</v>
      </c>
      <c r="H191" s="1">
        <v>46173</v>
      </c>
      <c r="I191" t="s">
        <v>36</v>
      </c>
      <c r="J191">
        <v>84299</v>
      </c>
      <c r="K191" t="s">
        <v>24</v>
      </c>
      <c r="L191" t="s">
        <v>19</v>
      </c>
      <c r="M191" t="str">
        <f t="shared" si="2"/>
        <v>May</v>
      </c>
    </row>
    <row r="192" spans="1:13" x14ac:dyDescent="0.3">
      <c r="A192" t="s">
        <v>244</v>
      </c>
      <c r="B192" t="s">
        <v>39</v>
      </c>
      <c r="C192" t="s">
        <v>22</v>
      </c>
      <c r="D192">
        <v>73</v>
      </c>
      <c r="E192" t="s">
        <v>45</v>
      </c>
      <c r="F192" t="s">
        <v>35</v>
      </c>
      <c r="G192" s="1">
        <v>46135</v>
      </c>
      <c r="H192" s="1">
        <v>46141</v>
      </c>
      <c r="I192" t="s">
        <v>36</v>
      </c>
      <c r="J192">
        <v>21573</v>
      </c>
      <c r="K192" t="s">
        <v>32</v>
      </c>
      <c r="L192" t="s">
        <v>28</v>
      </c>
      <c r="M192" t="str">
        <f t="shared" si="2"/>
        <v>Apr</v>
      </c>
    </row>
    <row r="193" spans="1:13" x14ac:dyDescent="0.3">
      <c r="A193" t="s">
        <v>245</v>
      </c>
      <c r="B193" t="s">
        <v>47</v>
      </c>
      <c r="C193" t="s">
        <v>14</v>
      </c>
      <c r="D193">
        <v>15</v>
      </c>
      <c r="E193" t="s">
        <v>31</v>
      </c>
      <c r="F193" t="s">
        <v>35</v>
      </c>
      <c r="G193" s="1">
        <v>46193</v>
      </c>
      <c r="H193" s="1">
        <v>46197</v>
      </c>
      <c r="I193" t="s">
        <v>63</v>
      </c>
      <c r="J193">
        <v>97337</v>
      </c>
      <c r="K193" t="s">
        <v>18</v>
      </c>
      <c r="L193" t="s">
        <v>25</v>
      </c>
      <c r="M193" t="str">
        <f t="shared" si="2"/>
        <v>Jun</v>
      </c>
    </row>
    <row r="194" spans="1:13" x14ac:dyDescent="0.3">
      <c r="A194" t="s">
        <v>246</v>
      </c>
      <c r="B194" t="s">
        <v>50</v>
      </c>
      <c r="C194" t="s">
        <v>14</v>
      </c>
      <c r="D194">
        <v>23</v>
      </c>
      <c r="E194" t="s">
        <v>48</v>
      </c>
      <c r="F194" t="s">
        <v>23</v>
      </c>
      <c r="G194" s="1">
        <v>46189</v>
      </c>
      <c r="H194" s="1">
        <v>46195</v>
      </c>
      <c r="I194" t="s">
        <v>36</v>
      </c>
      <c r="J194">
        <v>27063</v>
      </c>
      <c r="K194" t="s">
        <v>32</v>
      </c>
      <c r="L194" t="s">
        <v>19</v>
      </c>
      <c r="M194" t="str">
        <f t="shared" si="2"/>
        <v>Jun</v>
      </c>
    </row>
    <row r="195" spans="1:13" x14ac:dyDescent="0.3">
      <c r="A195" t="s">
        <v>247</v>
      </c>
      <c r="B195" t="s">
        <v>79</v>
      </c>
      <c r="C195" t="s">
        <v>14</v>
      </c>
      <c r="D195">
        <v>39</v>
      </c>
      <c r="E195" t="s">
        <v>31</v>
      </c>
      <c r="F195" t="s">
        <v>23</v>
      </c>
      <c r="G195" s="1">
        <v>46186</v>
      </c>
      <c r="H195" s="1">
        <v>46195</v>
      </c>
      <c r="I195" t="s">
        <v>27</v>
      </c>
      <c r="J195">
        <v>69574</v>
      </c>
      <c r="K195" t="s">
        <v>24</v>
      </c>
      <c r="L195" t="s">
        <v>28</v>
      </c>
      <c r="M195" t="str">
        <f t="shared" ref="M195:M258" si="3">TEXT(G195,"mmm")</f>
        <v>Jun</v>
      </c>
    </row>
    <row r="196" spans="1:13" x14ac:dyDescent="0.3">
      <c r="A196" t="s">
        <v>248</v>
      </c>
      <c r="B196" t="s">
        <v>34</v>
      </c>
      <c r="C196" t="s">
        <v>22</v>
      </c>
      <c r="D196">
        <v>25</v>
      </c>
      <c r="E196" t="s">
        <v>45</v>
      </c>
      <c r="F196" t="s">
        <v>16</v>
      </c>
      <c r="G196" s="1">
        <v>46133</v>
      </c>
      <c r="H196" s="1">
        <v>46139</v>
      </c>
      <c r="I196" t="s">
        <v>27</v>
      </c>
      <c r="J196">
        <v>73642</v>
      </c>
      <c r="K196" t="s">
        <v>18</v>
      </c>
      <c r="L196" t="s">
        <v>25</v>
      </c>
      <c r="M196" t="str">
        <f t="shared" si="3"/>
        <v>Apr</v>
      </c>
    </row>
    <row r="197" spans="1:13" x14ac:dyDescent="0.3">
      <c r="A197" t="s">
        <v>249</v>
      </c>
      <c r="B197" t="s">
        <v>21</v>
      </c>
      <c r="C197" t="s">
        <v>14</v>
      </c>
      <c r="D197">
        <v>46</v>
      </c>
      <c r="E197" t="s">
        <v>53</v>
      </c>
      <c r="F197" t="s">
        <v>23</v>
      </c>
      <c r="G197" s="1">
        <v>46115</v>
      </c>
      <c r="H197" s="1">
        <v>46124</v>
      </c>
      <c r="I197" t="s">
        <v>40</v>
      </c>
      <c r="J197">
        <v>39570</v>
      </c>
      <c r="K197" t="s">
        <v>32</v>
      </c>
      <c r="L197" t="s">
        <v>25</v>
      </c>
      <c r="M197" t="str">
        <f t="shared" si="3"/>
        <v>Apr</v>
      </c>
    </row>
    <row r="198" spans="1:13" x14ac:dyDescent="0.3">
      <c r="A198" t="s">
        <v>250</v>
      </c>
      <c r="B198" t="s">
        <v>79</v>
      </c>
      <c r="C198" t="s">
        <v>22</v>
      </c>
      <c r="D198">
        <v>35</v>
      </c>
      <c r="E198" t="s">
        <v>31</v>
      </c>
      <c r="F198" t="s">
        <v>43</v>
      </c>
      <c r="G198" s="1">
        <v>46065</v>
      </c>
      <c r="H198" s="1">
        <v>46066</v>
      </c>
      <c r="I198" t="s">
        <v>36</v>
      </c>
      <c r="J198">
        <v>89392</v>
      </c>
      <c r="K198" t="s">
        <v>32</v>
      </c>
      <c r="L198" t="s">
        <v>28</v>
      </c>
      <c r="M198" t="str">
        <f t="shared" si="3"/>
        <v>Feb</v>
      </c>
    </row>
    <row r="199" spans="1:13" x14ac:dyDescent="0.3">
      <c r="A199" t="s">
        <v>251</v>
      </c>
      <c r="B199" t="s">
        <v>21</v>
      </c>
      <c r="C199" t="s">
        <v>22</v>
      </c>
      <c r="D199">
        <v>44</v>
      </c>
      <c r="E199" t="s">
        <v>48</v>
      </c>
      <c r="F199" t="s">
        <v>16</v>
      </c>
      <c r="G199" s="1">
        <v>46170</v>
      </c>
      <c r="H199" s="1">
        <v>46178</v>
      </c>
      <c r="I199" t="s">
        <v>51</v>
      </c>
      <c r="J199">
        <v>97196</v>
      </c>
      <c r="K199" t="s">
        <v>32</v>
      </c>
      <c r="L199" t="s">
        <v>28</v>
      </c>
      <c r="M199" t="str">
        <f t="shared" si="3"/>
        <v>May</v>
      </c>
    </row>
    <row r="200" spans="1:13" x14ac:dyDescent="0.3">
      <c r="A200" t="s">
        <v>252</v>
      </c>
      <c r="B200" t="s">
        <v>57</v>
      </c>
      <c r="C200" t="s">
        <v>22</v>
      </c>
      <c r="D200">
        <v>47</v>
      </c>
      <c r="E200" t="s">
        <v>53</v>
      </c>
      <c r="F200" t="s">
        <v>23</v>
      </c>
      <c r="G200" s="1">
        <v>46099</v>
      </c>
      <c r="H200" s="1">
        <v>46103</v>
      </c>
      <c r="I200" t="s">
        <v>63</v>
      </c>
      <c r="J200">
        <v>52842</v>
      </c>
      <c r="K200" t="s">
        <v>37</v>
      </c>
      <c r="L200" t="s">
        <v>25</v>
      </c>
      <c r="M200" t="str">
        <f t="shared" si="3"/>
        <v>Mar</v>
      </c>
    </row>
    <row r="201" spans="1:13" x14ac:dyDescent="0.3">
      <c r="A201" t="s">
        <v>253</v>
      </c>
      <c r="B201" t="s">
        <v>50</v>
      </c>
      <c r="C201" t="s">
        <v>22</v>
      </c>
      <c r="D201">
        <v>76</v>
      </c>
      <c r="E201" t="s">
        <v>53</v>
      </c>
      <c r="F201" t="s">
        <v>23</v>
      </c>
      <c r="G201" s="1">
        <v>46155</v>
      </c>
      <c r="H201" s="1">
        <v>46160</v>
      </c>
      <c r="I201" t="s">
        <v>27</v>
      </c>
      <c r="J201">
        <v>59704</v>
      </c>
      <c r="K201" t="s">
        <v>32</v>
      </c>
      <c r="L201" t="s">
        <v>28</v>
      </c>
      <c r="M201" t="str">
        <f t="shared" si="3"/>
        <v>May</v>
      </c>
    </row>
    <row r="202" spans="1:13" x14ac:dyDescent="0.3">
      <c r="A202" t="s">
        <v>254</v>
      </c>
      <c r="B202" t="s">
        <v>39</v>
      </c>
      <c r="C202" t="s">
        <v>22</v>
      </c>
      <c r="D202">
        <v>28</v>
      </c>
      <c r="E202" t="s">
        <v>61</v>
      </c>
      <c r="F202" t="s">
        <v>54</v>
      </c>
      <c r="G202" s="1">
        <v>46076</v>
      </c>
      <c r="H202" s="1">
        <v>46079</v>
      </c>
      <c r="I202" t="s">
        <v>51</v>
      </c>
      <c r="J202">
        <v>80618</v>
      </c>
      <c r="K202" t="s">
        <v>32</v>
      </c>
      <c r="L202" t="s">
        <v>19</v>
      </c>
      <c r="M202" t="str">
        <f t="shared" si="3"/>
        <v>Feb</v>
      </c>
    </row>
    <row r="203" spans="1:13" x14ac:dyDescent="0.3">
      <c r="A203" t="s">
        <v>255</v>
      </c>
      <c r="B203" t="s">
        <v>50</v>
      </c>
      <c r="C203" t="s">
        <v>22</v>
      </c>
      <c r="D203">
        <v>37</v>
      </c>
      <c r="E203" t="s">
        <v>31</v>
      </c>
      <c r="F203" t="s">
        <v>16</v>
      </c>
      <c r="G203" s="1">
        <v>46162</v>
      </c>
      <c r="H203" s="1">
        <v>46167</v>
      </c>
      <c r="I203" t="s">
        <v>40</v>
      </c>
      <c r="J203">
        <v>9287</v>
      </c>
      <c r="K203" t="s">
        <v>24</v>
      </c>
      <c r="L203" t="s">
        <v>28</v>
      </c>
      <c r="M203" t="str">
        <f t="shared" si="3"/>
        <v>May</v>
      </c>
    </row>
    <row r="204" spans="1:13" x14ac:dyDescent="0.3">
      <c r="A204" t="s">
        <v>256</v>
      </c>
      <c r="B204" t="s">
        <v>42</v>
      </c>
      <c r="C204" t="s">
        <v>14</v>
      </c>
      <c r="D204">
        <v>65</v>
      </c>
      <c r="E204" t="s">
        <v>48</v>
      </c>
      <c r="F204" t="s">
        <v>23</v>
      </c>
      <c r="G204" s="1">
        <v>46111</v>
      </c>
      <c r="H204" s="1">
        <v>46112</v>
      </c>
      <c r="I204" t="s">
        <v>51</v>
      </c>
      <c r="J204">
        <v>12157</v>
      </c>
      <c r="K204" t="s">
        <v>37</v>
      </c>
      <c r="L204" t="s">
        <v>25</v>
      </c>
      <c r="M204" t="str">
        <f t="shared" si="3"/>
        <v>Mar</v>
      </c>
    </row>
    <row r="205" spans="1:13" x14ac:dyDescent="0.3">
      <c r="A205" t="s">
        <v>257</v>
      </c>
      <c r="B205" t="s">
        <v>72</v>
      </c>
      <c r="C205" t="s">
        <v>22</v>
      </c>
      <c r="D205">
        <v>15</v>
      </c>
      <c r="E205" t="s">
        <v>61</v>
      </c>
      <c r="F205" t="s">
        <v>43</v>
      </c>
      <c r="G205" s="1">
        <v>46134</v>
      </c>
      <c r="H205" s="1">
        <v>46143</v>
      </c>
      <c r="I205" t="s">
        <v>40</v>
      </c>
      <c r="J205">
        <v>108752</v>
      </c>
      <c r="K205" t="s">
        <v>37</v>
      </c>
      <c r="L205" t="s">
        <v>25</v>
      </c>
      <c r="M205" t="str">
        <f t="shared" si="3"/>
        <v>Apr</v>
      </c>
    </row>
    <row r="206" spans="1:13" x14ac:dyDescent="0.3">
      <c r="A206" t="s">
        <v>258</v>
      </c>
      <c r="B206" t="s">
        <v>42</v>
      </c>
      <c r="C206" t="s">
        <v>22</v>
      </c>
      <c r="D206">
        <v>16</v>
      </c>
      <c r="E206" t="s">
        <v>53</v>
      </c>
      <c r="F206" t="s">
        <v>54</v>
      </c>
      <c r="G206" s="1">
        <v>46024</v>
      </c>
      <c r="H206" s="1">
        <v>46028</v>
      </c>
      <c r="I206" t="s">
        <v>36</v>
      </c>
      <c r="J206">
        <v>38301</v>
      </c>
      <c r="K206" t="s">
        <v>18</v>
      </c>
      <c r="L206" t="s">
        <v>19</v>
      </c>
      <c r="M206" t="str">
        <f t="shared" si="3"/>
        <v>Jan</v>
      </c>
    </row>
    <row r="207" spans="1:13" x14ac:dyDescent="0.3">
      <c r="A207" t="s">
        <v>259</v>
      </c>
      <c r="B207" t="s">
        <v>39</v>
      </c>
      <c r="C207" t="s">
        <v>14</v>
      </c>
      <c r="D207">
        <v>75</v>
      </c>
      <c r="E207" t="s">
        <v>15</v>
      </c>
      <c r="F207" t="s">
        <v>54</v>
      </c>
      <c r="G207" s="1">
        <v>46058</v>
      </c>
      <c r="H207" s="1">
        <v>46063</v>
      </c>
      <c r="I207" t="s">
        <v>36</v>
      </c>
      <c r="J207">
        <v>37672</v>
      </c>
      <c r="K207" t="s">
        <v>37</v>
      </c>
      <c r="L207" t="s">
        <v>25</v>
      </c>
      <c r="M207" t="str">
        <f t="shared" si="3"/>
        <v>Feb</v>
      </c>
    </row>
    <row r="208" spans="1:13" x14ac:dyDescent="0.3">
      <c r="A208" t="s">
        <v>260</v>
      </c>
      <c r="B208" t="s">
        <v>57</v>
      </c>
      <c r="C208" t="s">
        <v>14</v>
      </c>
      <c r="D208">
        <v>50</v>
      </c>
      <c r="E208" t="s">
        <v>48</v>
      </c>
      <c r="F208" t="s">
        <v>54</v>
      </c>
      <c r="G208" s="1">
        <v>46193</v>
      </c>
      <c r="H208" s="1">
        <v>46198</v>
      </c>
      <c r="I208" t="s">
        <v>27</v>
      </c>
      <c r="J208">
        <v>14863</v>
      </c>
      <c r="K208" t="s">
        <v>32</v>
      </c>
      <c r="L208" t="s">
        <v>19</v>
      </c>
      <c r="M208" t="str">
        <f t="shared" si="3"/>
        <v>Jun</v>
      </c>
    </row>
    <row r="209" spans="1:13" x14ac:dyDescent="0.3">
      <c r="A209" t="s">
        <v>261</v>
      </c>
      <c r="B209" t="s">
        <v>47</v>
      </c>
      <c r="C209" t="s">
        <v>14</v>
      </c>
      <c r="D209">
        <v>29</v>
      </c>
      <c r="E209" t="s">
        <v>61</v>
      </c>
      <c r="F209" t="s">
        <v>16</v>
      </c>
      <c r="G209" s="1">
        <v>46055</v>
      </c>
      <c r="H209" s="1">
        <v>46060</v>
      </c>
      <c r="I209" t="s">
        <v>51</v>
      </c>
      <c r="J209">
        <v>89169</v>
      </c>
      <c r="K209" t="s">
        <v>37</v>
      </c>
      <c r="L209" t="s">
        <v>19</v>
      </c>
      <c r="M209" t="str">
        <f t="shared" si="3"/>
        <v>Feb</v>
      </c>
    </row>
    <row r="210" spans="1:13" x14ac:dyDescent="0.3">
      <c r="A210" t="s">
        <v>262</v>
      </c>
      <c r="B210" t="s">
        <v>72</v>
      </c>
      <c r="C210" t="s">
        <v>22</v>
      </c>
      <c r="D210">
        <v>78</v>
      </c>
      <c r="E210" t="s">
        <v>15</v>
      </c>
      <c r="F210" t="s">
        <v>23</v>
      </c>
      <c r="G210" s="1">
        <v>46192</v>
      </c>
      <c r="H210" s="1">
        <v>46202</v>
      </c>
      <c r="I210" t="s">
        <v>40</v>
      </c>
      <c r="J210">
        <v>17385</v>
      </c>
      <c r="K210" t="s">
        <v>24</v>
      </c>
      <c r="L210" t="s">
        <v>19</v>
      </c>
      <c r="M210" t="str">
        <f t="shared" si="3"/>
        <v>Jun</v>
      </c>
    </row>
    <row r="211" spans="1:13" x14ac:dyDescent="0.3">
      <c r="A211" t="s">
        <v>263</v>
      </c>
      <c r="B211" t="s">
        <v>21</v>
      </c>
      <c r="C211" t="s">
        <v>14</v>
      </c>
      <c r="D211">
        <v>10</v>
      </c>
      <c r="E211" t="s">
        <v>53</v>
      </c>
      <c r="F211" t="s">
        <v>35</v>
      </c>
      <c r="G211" s="1">
        <v>46103</v>
      </c>
      <c r="H211" s="1">
        <v>46110</v>
      </c>
      <c r="I211" t="s">
        <v>17</v>
      </c>
      <c r="J211">
        <v>97995</v>
      </c>
      <c r="K211" t="s">
        <v>37</v>
      </c>
      <c r="L211" t="s">
        <v>28</v>
      </c>
      <c r="M211" t="str">
        <f t="shared" si="3"/>
        <v>Mar</v>
      </c>
    </row>
    <row r="212" spans="1:13" x14ac:dyDescent="0.3">
      <c r="A212" t="s">
        <v>264</v>
      </c>
      <c r="B212" t="s">
        <v>30</v>
      </c>
      <c r="C212" t="s">
        <v>14</v>
      </c>
      <c r="D212">
        <v>13</v>
      </c>
      <c r="E212" t="s">
        <v>45</v>
      </c>
      <c r="F212" t="s">
        <v>43</v>
      </c>
      <c r="G212" s="1">
        <v>46035</v>
      </c>
      <c r="H212" s="1">
        <v>46044</v>
      </c>
      <c r="I212" t="s">
        <v>36</v>
      </c>
      <c r="J212">
        <v>98493</v>
      </c>
      <c r="K212" t="s">
        <v>24</v>
      </c>
      <c r="L212" t="s">
        <v>25</v>
      </c>
      <c r="M212" t="str">
        <f t="shared" si="3"/>
        <v>Jan</v>
      </c>
    </row>
    <row r="213" spans="1:13" x14ac:dyDescent="0.3">
      <c r="A213" t="s">
        <v>265</v>
      </c>
      <c r="B213" t="s">
        <v>47</v>
      </c>
      <c r="C213" t="s">
        <v>22</v>
      </c>
      <c r="D213">
        <v>29</v>
      </c>
      <c r="E213" t="s">
        <v>15</v>
      </c>
      <c r="F213" t="s">
        <v>23</v>
      </c>
      <c r="G213" s="1">
        <v>46091</v>
      </c>
      <c r="H213" s="1">
        <v>46095</v>
      </c>
      <c r="I213" t="s">
        <v>40</v>
      </c>
      <c r="J213">
        <v>90792</v>
      </c>
      <c r="K213" t="s">
        <v>32</v>
      </c>
      <c r="L213" t="s">
        <v>25</v>
      </c>
      <c r="M213" t="str">
        <f t="shared" si="3"/>
        <v>Mar</v>
      </c>
    </row>
    <row r="214" spans="1:13" x14ac:dyDescent="0.3">
      <c r="A214" t="s">
        <v>266</v>
      </c>
      <c r="B214" t="s">
        <v>57</v>
      </c>
      <c r="C214" t="s">
        <v>22</v>
      </c>
      <c r="D214">
        <v>69</v>
      </c>
      <c r="E214" t="s">
        <v>31</v>
      </c>
      <c r="F214" t="s">
        <v>54</v>
      </c>
      <c r="G214" s="1">
        <v>46080</v>
      </c>
      <c r="H214" s="1">
        <v>46084</v>
      </c>
      <c r="I214" t="s">
        <v>27</v>
      </c>
      <c r="J214">
        <v>55827</v>
      </c>
      <c r="K214" t="s">
        <v>32</v>
      </c>
      <c r="L214" t="s">
        <v>25</v>
      </c>
      <c r="M214" t="str">
        <f t="shared" si="3"/>
        <v>Feb</v>
      </c>
    </row>
    <row r="215" spans="1:13" x14ac:dyDescent="0.3">
      <c r="A215" t="s">
        <v>267</v>
      </c>
      <c r="B215" t="s">
        <v>30</v>
      </c>
      <c r="C215" t="s">
        <v>14</v>
      </c>
      <c r="D215">
        <v>12</v>
      </c>
      <c r="E215" t="s">
        <v>31</v>
      </c>
      <c r="F215" t="s">
        <v>16</v>
      </c>
      <c r="G215" s="1">
        <v>46091</v>
      </c>
      <c r="H215" s="1">
        <v>46100</v>
      </c>
      <c r="I215" t="s">
        <v>17</v>
      </c>
      <c r="J215">
        <v>59084</v>
      </c>
      <c r="K215" t="s">
        <v>18</v>
      </c>
      <c r="L215" t="s">
        <v>25</v>
      </c>
      <c r="M215" t="str">
        <f t="shared" si="3"/>
        <v>Mar</v>
      </c>
    </row>
    <row r="216" spans="1:13" x14ac:dyDescent="0.3">
      <c r="A216" t="s">
        <v>268</v>
      </c>
      <c r="B216" t="s">
        <v>47</v>
      </c>
      <c r="C216" t="s">
        <v>14</v>
      </c>
      <c r="D216">
        <v>45</v>
      </c>
      <c r="E216" t="s">
        <v>53</v>
      </c>
      <c r="F216" t="s">
        <v>16</v>
      </c>
      <c r="G216" s="1">
        <v>46132</v>
      </c>
      <c r="H216" s="1">
        <v>46134</v>
      </c>
      <c r="I216" t="s">
        <v>63</v>
      </c>
      <c r="J216">
        <v>59987</v>
      </c>
      <c r="K216" t="s">
        <v>37</v>
      </c>
      <c r="L216" t="s">
        <v>19</v>
      </c>
      <c r="M216" t="str">
        <f t="shared" si="3"/>
        <v>Apr</v>
      </c>
    </row>
    <row r="217" spans="1:13" x14ac:dyDescent="0.3">
      <c r="A217" t="s">
        <v>269</v>
      </c>
      <c r="B217" t="s">
        <v>125</v>
      </c>
      <c r="C217" t="s">
        <v>14</v>
      </c>
      <c r="D217">
        <v>57</v>
      </c>
      <c r="E217" t="s">
        <v>61</v>
      </c>
      <c r="F217" t="s">
        <v>54</v>
      </c>
      <c r="G217" s="1">
        <v>46047</v>
      </c>
      <c r="H217" s="1">
        <v>46050</v>
      </c>
      <c r="I217" t="s">
        <v>40</v>
      </c>
      <c r="J217">
        <v>51890</v>
      </c>
      <c r="K217" t="s">
        <v>24</v>
      </c>
      <c r="L217" t="s">
        <v>19</v>
      </c>
      <c r="M217" t="str">
        <f t="shared" si="3"/>
        <v>Jan</v>
      </c>
    </row>
    <row r="218" spans="1:13" x14ac:dyDescent="0.3">
      <c r="A218" t="s">
        <v>270</v>
      </c>
      <c r="B218" t="s">
        <v>30</v>
      </c>
      <c r="C218" t="s">
        <v>14</v>
      </c>
      <c r="D218">
        <v>43</v>
      </c>
      <c r="E218" t="s">
        <v>48</v>
      </c>
      <c r="F218" t="s">
        <v>23</v>
      </c>
      <c r="G218" s="1">
        <v>46057</v>
      </c>
      <c r="H218" s="1">
        <v>46067</v>
      </c>
      <c r="I218" t="s">
        <v>63</v>
      </c>
      <c r="J218">
        <v>112277</v>
      </c>
      <c r="K218" t="s">
        <v>37</v>
      </c>
      <c r="L218" t="s">
        <v>25</v>
      </c>
      <c r="M218" t="str">
        <f t="shared" si="3"/>
        <v>Feb</v>
      </c>
    </row>
    <row r="219" spans="1:13" x14ac:dyDescent="0.3">
      <c r="A219" t="s">
        <v>271</v>
      </c>
      <c r="B219" t="s">
        <v>82</v>
      </c>
      <c r="C219" t="s">
        <v>22</v>
      </c>
      <c r="D219">
        <v>32</v>
      </c>
      <c r="E219" t="s">
        <v>15</v>
      </c>
      <c r="F219" t="s">
        <v>43</v>
      </c>
      <c r="G219" s="1">
        <v>46102</v>
      </c>
      <c r="H219" s="1">
        <v>46104</v>
      </c>
      <c r="I219" t="s">
        <v>63</v>
      </c>
      <c r="J219">
        <v>39706</v>
      </c>
      <c r="K219" t="s">
        <v>32</v>
      </c>
      <c r="L219" t="s">
        <v>19</v>
      </c>
      <c r="M219" t="str">
        <f t="shared" si="3"/>
        <v>Mar</v>
      </c>
    </row>
    <row r="220" spans="1:13" x14ac:dyDescent="0.3">
      <c r="A220" t="s">
        <v>272</v>
      </c>
      <c r="B220" t="s">
        <v>47</v>
      </c>
      <c r="C220" t="s">
        <v>14</v>
      </c>
      <c r="D220">
        <v>23</v>
      </c>
      <c r="E220" t="s">
        <v>45</v>
      </c>
      <c r="F220" t="s">
        <v>23</v>
      </c>
      <c r="G220" s="1">
        <v>46101</v>
      </c>
      <c r="H220" s="1">
        <v>46108</v>
      </c>
      <c r="I220" t="s">
        <v>17</v>
      </c>
      <c r="J220">
        <v>14607</v>
      </c>
      <c r="K220" t="s">
        <v>24</v>
      </c>
      <c r="L220" t="s">
        <v>28</v>
      </c>
      <c r="M220" t="str">
        <f t="shared" si="3"/>
        <v>Mar</v>
      </c>
    </row>
    <row r="221" spans="1:13" x14ac:dyDescent="0.3">
      <c r="A221" t="s">
        <v>273</v>
      </c>
      <c r="B221" t="s">
        <v>79</v>
      </c>
      <c r="C221" t="s">
        <v>14</v>
      </c>
      <c r="D221">
        <v>11</v>
      </c>
      <c r="E221" t="s">
        <v>15</v>
      </c>
      <c r="F221" t="s">
        <v>16</v>
      </c>
      <c r="G221" s="1">
        <v>46091</v>
      </c>
      <c r="H221" s="1">
        <v>46101</v>
      </c>
      <c r="I221" t="s">
        <v>40</v>
      </c>
      <c r="J221">
        <v>15523</v>
      </c>
      <c r="K221" t="s">
        <v>32</v>
      </c>
      <c r="L221" t="s">
        <v>19</v>
      </c>
      <c r="M221" t="str">
        <f t="shared" si="3"/>
        <v>Mar</v>
      </c>
    </row>
    <row r="222" spans="1:13" x14ac:dyDescent="0.3">
      <c r="A222" t="s">
        <v>274</v>
      </c>
      <c r="B222" t="s">
        <v>47</v>
      </c>
      <c r="C222" t="s">
        <v>14</v>
      </c>
      <c r="D222">
        <v>58</v>
      </c>
      <c r="E222" t="s">
        <v>61</v>
      </c>
      <c r="F222" t="s">
        <v>43</v>
      </c>
      <c r="G222" s="1">
        <v>46137</v>
      </c>
      <c r="H222" s="1">
        <v>46146</v>
      </c>
      <c r="I222" t="s">
        <v>17</v>
      </c>
      <c r="J222">
        <v>106279</v>
      </c>
      <c r="K222" t="s">
        <v>24</v>
      </c>
      <c r="L222" t="s">
        <v>28</v>
      </c>
      <c r="M222" t="str">
        <f t="shared" si="3"/>
        <v>Apr</v>
      </c>
    </row>
    <row r="223" spans="1:13" x14ac:dyDescent="0.3">
      <c r="A223" t="s">
        <v>275</v>
      </c>
      <c r="B223" t="s">
        <v>79</v>
      </c>
      <c r="C223" t="s">
        <v>22</v>
      </c>
      <c r="D223">
        <v>24</v>
      </c>
      <c r="E223" t="s">
        <v>48</v>
      </c>
      <c r="F223" t="s">
        <v>43</v>
      </c>
      <c r="G223" s="1">
        <v>46175</v>
      </c>
      <c r="H223" s="1">
        <v>46178</v>
      </c>
      <c r="I223" t="s">
        <v>40</v>
      </c>
      <c r="J223">
        <v>84337</v>
      </c>
      <c r="K223" t="s">
        <v>24</v>
      </c>
      <c r="L223" t="s">
        <v>25</v>
      </c>
      <c r="M223" t="str">
        <f t="shared" si="3"/>
        <v>Jun</v>
      </c>
    </row>
    <row r="224" spans="1:13" x14ac:dyDescent="0.3">
      <c r="A224" t="s">
        <v>276</v>
      </c>
      <c r="B224" t="s">
        <v>13</v>
      </c>
      <c r="C224" t="s">
        <v>22</v>
      </c>
      <c r="D224">
        <v>6</v>
      </c>
      <c r="E224" t="s">
        <v>48</v>
      </c>
      <c r="F224" t="s">
        <v>16</v>
      </c>
      <c r="G224" s="1">
        <v>46080</v>
      </c>
      <c r="H224" s="1">
        <v>46083</v>
      </c>
      <c r="I224" t="s">
        <v>17</v>
      </c>
      <c r="J224">
        <v>98667</v>
      </c>
      <c r="K224" t="s">
        <v>18</v>
      </c>
      <c r="L224" t="s">
        <v>19</v>
      </c>
      <c r="M224" t="str">
        <f t="shared" si="3"/>
        <v>Feb</v>
      </c>
    </row>
    <row r="225" spans="1:13" x14ac:dyDescent="0.3">
      <c r="A225" t="s">
        <v>277</v>
      </c>
      <c r="B225" t="s">
        <v>125</v>
      </c>
      <c r="C225" t="s">
        <v>22</v>
      </c>
      <c r="D225">
        <v>74</v>
      </c>
      <c r="E225" t="s">
        <v>53</v>
      </c>
      <c r="F225" t="s">
        <v>54</v>
      </c>
      <c r="G225" s="1">
        <v>46196</v>
      </c>
      <c r="H225" s="1">
        <v>46204</v>
      </c>
      <c r="I225" t="s">
        <v>40</v>
      </c>
      <c r="J225">
        <v>89140</v>
      </c>
      <c r="K225" t="s">
        <v>18</v>
      </c>
      <c r="L225" t="s">
        <v>28</v>
      </c>
      <c r="M225" t="str">
        <f t="shared" si="3"/>
        <v>Jun</v>
      </c>
    </row>
    <row r="226" spans="1:13" x14ac:dyDescent="0.3">
      <c r="A226" t="s">
        <v>278</v>
      </c>
      <c r="B226" t="s">
        <v>13</v>
      </c>
      <c r="C226" t="s">
        <v>22</v>
      </c>
      <c r="D226">
        <v>57</v>
      </c>
      <c r="E226" t="s">
        <v>15</v>
      </c>
      <c r="F226" t="s">
        <v>54</v>
      </c>
      <c r="G226" s="1">
        <v>46179</v>
      </c>
      <c r="H226" s="1">
        <v>46188</v>
      </c>
      <c r="I226" t="s">
        <v>40</v>
      </c>
      <c r="J226">
        <v>77216</v>
      </c>
      <c r="K226" t="s">
        <v>32</v>
      </c>
      <c r="L226" t="s">
        <v>25</v>
      </c>
      <c r="M226" t="str">
        <f t="shared" si="3"/>
        <v>Jun</v>
      </c>
    </row>
    <row r="227" spans="1:13" x14ac:dyDescent="0.3">
      <c r="A227" t="s">
        <v>279</v>
      </c>
      <c r="B227" t="s">
        <v>57</v>
      </c>
      <c r="C227" t="s">
        <v>22</v>
      </c>
      <c r="D227">
        <v>43</v>
      </c>
      <c r="E227" t="s">
        <v>45</v>
      </c>
      <c r="F227" t="s">
        <v>35</v>
      </c>
      <c r="G227" s="1">
        <v>46173</v>
      </c>
      <c r="H227" s="1">
        <v>46180</v>
      </c>
      <c r="I227" t="s">
        <v>63</v>
      </c>
      <c r="J227">
        <v>8893</v>
      </c>
      <c r="K227" t="s">
        <v>18</v>
      </c>
      <c r="L227" t="s">
        <v>28</v>
      </c>
      <c r="M227" t="str">
        <f t="shared" si="3"/>
        <v>May</v>
      </c>
    </row>
    <row r="228" spans="1:13" x14ac:dyDescent="0.3">
      <c r="A228" t="s">
        <v>280</v>
      </c>
      <c r="B228" t="s">
        <v>30</v>
      </c>
      <c r="C228" t="s">
        <v>22</v>
      </c>
      <c r="D228">
        <v>10</v>
      </c>
      <c r="E228" t="s">
        <v>53</v>
      </c>
      <c r="F228" t="s">
        <v>54</v>
      </c>
      <c r="G228" s="1">
        <v>46111</v>
      </c>
      <c r="H228" s="1">
        <v>46113</v>
      </c>
      <c r="I228" t="s">
        <v>63</v>
      </c>
      <c r="J228">
        <v>111265</v>
      </c>
      <c r="K228" t="s">
        <v>32</v>
      </c>
      <c r="L228" t="s">
        <v>25</v>
      </c>
      <c r="M228" t="str">
        <f t="shared" si="3"/>
        <v>Mar</v>
      </c>
    </row>
    <row r="229" spans="1:13" x14ac:dyDescent="0.3">
      <c r="A229" t="s">
        <v>281</v>
      </c>
      <c r="B229" t="s">
        <v>97</v>
      </c>
      <c r="C229" t="s">
        <v>14</v>
      </c>
      <c r="D229">
        <v>6</v>
      </c>
      <c r="E229" t="s">
        <v>31</v>
      </c>
      <c r="F229" t="s">
        <v>54</v>
      </c>
      <c r="G229" s="1">
        <v>46090</v>
      </c>
      <c r="H229" s="1">
        <v>46097</v>
      </c>
      <c r="I229" t="s">
        <v>40</v>
      </c>
      <c r="J229">
        <v>9037</v>
      </c>
      <c r="K229" t="s">
        <v>32</v>
      </c>
      <c r="L229" t="s">
        <v>28</v>
      </c>
      <c r="M229" t="str">
        <f t="shared" si="3"/>
        <v>Mar</v>
      </c>
    </row>
    <row r="230" spans="1:13" x14ac:dyDescent="0.3">
      <c r="A230" t="s">
        <v>282</v>
      </c>
      <c r="B230" t="s">
        <v>21</v>
      </c>
      <c r="C230" t="s">
        <v>22</v>
      </c>
      <c r="D230">
        <v>17</v>
      </c>
      <c r="E230" t="s">
        <v>15</v>
      </c>
      <c r="F230" t="s">
        <v>35</v>
      </c>
      <c r="G230" s="1">
        <v>46103</v>
      </c>
      <c r="H230" s="1">
        <v>46104</v>
      </c>
      <c r="I230" t="s">
        <v>27</v>
      </c>
      <c r="J230">
        <v>86975</v>
      </c>
      <c r="K230" t="s">
        <v>24</v>
      </c>
      <c r="L230" t="s">
        <v>19</v>
      </c>
      <c r="M230" t="str">
        <f t="shared" si="3"/>
        <v>Mar</v>
      </c>
    </row>
    <row r="231" spans="1:13" x14ac:dyDescent="0.3">
      <c r="A231" t="s">
        <v>283</v>
      </c>
      <c r="B231" t="s">
        <v>65</v>
      </c>
      <c r="C231" t="s">
        <v>14</v>
      </c>
      <c r="D231">
        <v>36</v>
      </c>
      <c r="E231" t="s">
        <v>31</v>
      </c>
      <c r="F231" t="s">
        <v>43</v>
      </c>
      <c r="G231" s="1">
        <v>46151</v>
      </c>
      <c r="H231" s="1">
        <v>46154</v>
      </c>
      <c r="I231" t="s">
        <v>36</v>
      </c>
      <c r="J231">
        <v>97238</v>
      </c>
      <c r="K231" t="s">
        <v>18</v>
      </c>
      <c r="L231" t="s">
        <v>28</v>
      </c>
      <c r="M231" t="str">
        <f t="shared" si="3"/>
        <v>May</v>
      </c>
    </row>
    <row r="232" spans="1:13" x14ac:dyDescent="0.3">
      <c r="A232" t="s">
        <v>284</v>
      </c>
      <c r="B232" t="s">
        <v>47</v>
      </c>
      <c r="C232" t="s">
        <v>14</v>
      </c>
      <c r="D232">
        <v>73</v>
      </c>
      <c r="E232" t="s">
        <v>45</v>
      </c>
      <c r="F232" t="s">
        <v>43</v>
      </c>
      <c r="G232" s="1">
        <v>46142</v>
      </c>
      <c r="H232" s="1">
        <v>46152</v>
      </c>
      <c r="I232" t="s">
        <v>51</v>
      </c>
      <c r="J232">
        <v>9575</v>
      </c>
      <c r="K232" t="s">
        <v>37</v>
      </c>
      <c r="L232" t="s">
        <v>28</v>
      </c>
      <c r="M232" t="str">
        <f t="shared" si="3"/>
        <v>Apr</v>
      </c>
    </row>
    <row r="233" spans="1:13" x14ac:dyDescent="0.3">
      <c r="A233" t="s">
        <v>285</v>
      </c>
      <c r="B233" t="s">
        <v>21</v>
      </c>
      <c r="C233" t="s">
        <v>14</v>
      </c>
      <c r="D233">
        <v>17</v>
      </c>
      <c r="E233" t="s">
        <v>53</v>
      </c>
      <c r="F233" t="s">
        <v>35</v>
      </c>
      <c r="G233" s="1">
        <v>46087</v>
      </c>
      <c r="H233" s="1">
        <v>46089</v>
      </c>
      <c r="I233" t="s">
        <v>40</v>
      </c>
      <c r="J233">
        <v>98161</v>
      </c>
      <c r="K233" t="s">
        <v>37</v>
      </c>
      <c r="L233" t="s">
        <v>28</v>
      </c>
      <c r="M233" t="str">
        <f t="shared" si="3"/>
        <v>Mar</v>
      </c>
    </row>
    <row r="234" spans="1:13" x14ac:dyDescent="0.3">
      <c r="A234" t="s">
        <v>286</v>
      </c>
      <c r="B234" t="s">
        <v>13</v>
      </c>
      <c r="C234" t="s">
        <v>14</v>
      </c>
      <c r="D234">
        <v>66</v>
      </c>
      <c r="E234" t="s">
        <v>15</v>
      </c>
      <c r="F234" t="s">
        <v>35</v>
      </c>
      <c r="G234" s="1">
        <v>46035</v>
      </c>
      <c r="H234" s="1">
        <v>46038</v>
      </c>
      <c r="I234" t="s">
        <v>63</v>
      </c>
      <c r="J234">
        <v>14573</v>
      </c>
      <c r="K234" t="s">
        <v>37</v>
      </c>
      <c r="L234" t="s">
        <v>25</v>
      </c>
      <c r="M234" t="str">
        <f t="shared" si="3"/>
        <v>Jan</v>
      </c>
    </row>
    <row r="235" spans="1:13" x14ac:dyDescent="0.3">
      <c r="A235" t="s">
        <v>287</v>
      </c>
      <c r="B235" t="s">
        <v>97</v>
      </c>
      <c r="C235" t="s">
        <v>14</v>
      </c>
      <c r="D235">
        <v>70</v>
      </c>
      <c r="E235" t="s">
        <v>53</v>
      </c>
      <c r="F235" t="s">
        <v>35</v>
      </c>
      <c r="G235" s="1">
        <v>46046</v>
      </c>
      <c r="H235" s="1">
        <v>46048</v>
      </c>
      <c r="I235" t="s">
        <v>17</v>
      </c>
      <c r="J235">
        <v>73849</v>
      </c>
      <c r="K235" t="s">
        <v>24</v>
      </c>
      <c r="L235" t="s">
        <v>28</v>
      </c>
      <c r="M235" t="str">
        <f t="shared" si="3"/>
        <v>Jan</v>
      </c>
    </row>
    <row r="236" spans="1:13" x14ac:dyDescent="0.3">
      <c r="A236" t="s">
        <v>288</v>
      </c>
      <c r="B236" t="s">
        <v>82</v>
      </c>
      <c r="C236" t="s">
        <v>22</v>
      </c>
      <c r="D236">
        <v>72</v>
      </c>
      <c r="E236" t="s">
        <v>61</v>
      </c>
      <c r="F236" t="s">
        <v>54</v>
      </c>
      <c r="G236" s="1">
        <v>46083</v>
      </c>
      <c r="H236" s="1">
        <v>46084</v>
      </c>
      <c r="I236" t="s">
        <v>36</v>
      </c>
      <c r="J236">
        <v>70471</v>
      </c>
      <c r="K236" t="s">
        <v>37</v>
      </c>
      <c r="L236" t="s">
        <v>19</v>
      </c>
      <c r="M236" t="str">
        <f t="shared" si="3"/>
        <v>Mar</v>
      </c>
    </row>
    <row r="237" spans="1:13" x14ac:dyDescent="0.3">
      <c r="A237" t="s">
        <v>289</v>
      </c>
      <c r="B237" t="s">
        <v>30</v>
      </c>
      <c r="C237" t="s">
        <v>14</v>
      </c>
      <c r="D237">
        <v>57</v>
      </c>
      <c r="E237" t="s">
        <v>31</v>
      </c>
      <c r="F237" t="s">
        <v>54</v>
      </c>
      <c r="G237" s="1">
        <v>46135</v>
      </c>
      <c r="H237" s="1">
        <v>46138</v>
      </c>
      <c r="I237" t="s">
        <v>17</v>
      </c>
      <c r="J237">
        <v>56116</v>
      </c>
      <c r="K237" t="s">
        <v>37</v>
      </c>
      <c r="L237" t="s">
        <v>25</v>
      </c>
      <c r="M237" t="str">
        <f t="shared" si="3"/>
        <v>Apr</v>
      </c>
    </row>
    <row r="238" spans="1:13" x14ac:dyDescent="0.3">
      <c r="A238" t="s">
        <v>290</v>
      </c>
      <c r="B238" t="s">
        <v>72</v>
      </c>
      <c r="C238" t="s">
        <v>22</v>
      </c>
      <c r="D238">
        <v>66</v>
      </c>
      <c r="E238" t="s">
        <v>48</v>
      </c>
      <c r="F238" t="s">
        <v>43</v>
      </c>
      <c r="G238" s="1">
        <v>46122</v>
      </c>
      <c r="H238" s="1">
        <v>46131</v>
      </c>
      <c r="I238" t="s">
        <v>40</v>
      </c>
      <c r="J238">
        <v>94467</v>
      </c>
      <c r="K238" t="s">
        <v>18</v>
      </c>
      <c r="L238" t="s">
        <v>25</v>
      </c>
      <c r="M238" t="str">
        <f t="shared" si="3"/>
        <v>Apr</v>
      </c>
    </row>
    <row r="239" spans="1:13" x14ac:dyDescent="0.3">
      <c r="A239" t="s">
        <v>291</v>
      </c>
      <c r="B239" t="s">
        <v>50</v>
      </c>
      <c r="C239" t="s">
        <v>22</v>
      </c>
      <c r="D239">
        <v>72</v>
      </c>
      <c r="E239" t="s">
        <v>45</v>
      </c>
      <c r="F239" t="s">
        <v>43</v>
      </c>
      <c r="G239" s="1">
        <v>46043</v>
      </c>
      <c r="H239" s="1">
        <v>46049</v>
      </c>
      <c r="I239" t="s">
        <v>27</v>
      </c>
      <c r="J239">
        <v>37067</v>
      </c>
      <c r="K239" t="s">
        <v>32</v>
      </c>
      <c r="L239" t="s">
        <v>25</v>
      </c>
      <c r="M239" t="str">
        <f t="shared" si="3"/>
        <v>Jan</v>
      </c>
    </row>
    <row r="240" spans="1:13" x14ac:dyDescent="0.3">
      <c r="A240" t="s">
        <v>292</v>
      </c>
      <c r="B240" t="s">
        <v>42</v>
      </c>
      <c r="C240" t="s">
        <v>22</v>
      </c>
      <c r="D240">
        <v>8</v>
      </c>
      <c r="E240" t="s">
        <v>15</v>
      </c>
      <c r="F240" t="s">
        <v>54</v>
      </c>
      <c r="G240" s="1">
        <v>46156</v>
      </c>
      <c r="H240" s="1">
        <v>46164</v>
      </c>
      <c r="I240" t="s">
        <v>36</v>
      </c>
      <c r="J240">
        <v>117794</v>
      </c>
      <c r="K240" t="s">
        <v>18</v>
      </c>
      <c r="L240" t="s">
        <v>19</v>
      </c>
      <c r="M240" t="str">
        <f t="shared" si="3"/>
        <v>May</v>
      </c>
    </row>
    <row r="241" spans="1:13" x14ac:dyDescent="0.3">
      <c r="A241" t="s">
        <v>293</v>
      </c>
      <c r="B241" t="s">
        <v>65</v>
      </c>
      <c r="C241" t="s">
        <v>14</v>
      </c>
      <c r="D241">
        <v>75</v>
      </c>
      <c r="E241" t="s">
        <v>31</v>
      </c>
      <c r="F241" t="s">
        <v>16</v>
      </c>
      <c r="G241" s="1">
        <v>46092</v>
      </c>
      <c r="H241" s="1">
        <v>46094</v>
      </c>
      <c r="I241" t="s">
        <v>27</v>
      </c>
      <c r="J241">
        <v>77820</v>
      </c>
      <c r="K241" t="s">
        <v>32</v>
      </c>
      <c r="L241" t="s">
        <v>28</v>
      </c>
      <c r="M241" t="str">
        <f t="shared" si="3"/>
        <v>Mar</v>
      </c>
    </row>
    <row r="242" spans="1:13" x14ac:dyDescent="0.3">
      <c r="A242" t="s">
        <v>294</v>
      </c>
      <c r="B242" t="s">
        <v>65</v>
      </c>
      <c r="C242" t="s">
        <v>22</v>
      </c>
      <c r="D242">
        <v>6</v>
      </c>
      <c r="E242" t="s">
        <v>48</v>
      </c>
      <c r="F242" t="s">
        <v>35</v>
      </c>
      <c r="G242" s="1">
        <v>46025</v>
      </c>
      <c r="H242" s="1">
        <v>46033</v>
      </c>
      <c r="I242" t="s">
        <v>17</v>
      </c>
      <c r="J242">
        <v>37445</v>
      </c>
      <c r="K242" t="s">
        <v>37</v>
      </c>
      <c r="L242" t="s">
        <v>28</v>
      </c>
      <c r="M242" t="str">
        <f t="shared" si="3"/>
        <v>Jan</v>
      </c>
    </row>
    <row r="243" spans="1:13" x14ac:dyDescent="0.3">
      <c r="A243" t="s">
        <v>295</v>
      </c>
      <c r="B243" t="s">
        <v>79</v>
      </c>
      <c r="C243" t="s">
        <v>14</v>
      </c>
      <c r="D243">
        <v>72</v>
      </c>
      <c r="E243" t="s">
        <v>15</v>
      </c>
      <c r="F243" t="s">
        <v>35</v>
      </c>
      <c r="G243" s="1">
        <v>46171</v>
      </c>
      <c r="H243" s="1">
        <v>46181</v>
      </c>
      <c r="I243" t="s">
        <v>27</v>
      </c>
      <c r="J243">
        <v>90835</v>
      </c>
      <c r="K243" t="s">
        <v>32</v>
      </c>
      <c r="L243" t="s">
        <v>19</v>
      </c>
      <c r="M243" t="str">
        <f t="shared" si="3"/>
        <v>May</v>
      </c>
    </row>
    <row r="244" spans="1:13" x14ac:dyDescent="0.3">
      <c r="A244" t="s">
        <v>296</v>
      </c>
      <c r="B244" t="s">
        <v>65</v>
      </c>
      <c r="C244" t="s">
        <v>22</v>
      </c>
      <c r="D244">
        <v>14</v>
      </c>
      <c r="E244" t="s">
        <v>45</v>
      </c>
      <c r="F244" t="s">
        <v>23</v>
      </c>
      <c r="G244" s="1">
        <v>46187</v>
      </c>
      <c r="H244" s="1">
        <v>46197</v>
      </c>
      <c r="I244" t="s">
        <v>63</v>
      </c>
      <c r="J244">
        <v>115684</v>
      </c>
      <c r="K244" t="s">
        <v>37</v>
      </c>
      <c r="L244" t="s">
        <v>19</v>
      </c>
      <c r="M244" t="str">
        <f t="shared" si="3"/>
        <v>Jun</v>
      </c>
    </row>
    <row r="245" spans="1:13" x14ac:dyDescent="0.3">
      <c r="A245" t="s">
        <v>297</v>
      </c>
      <c r="B245" t="s">
        <v>30</v>
      </c>
      <c r="C245" t="s">
        <v>14</v>
      </c>
      <c r="D245">
        <v>37</v>
      </c>
      <c r="E245" t="s">
        <v>53</v>
      </c>
      <c r="F245" t="s">
        <v>16</v>
      </c>
      <c r="G245" s="1">
        <v>46181</v>
      </c>
      <c r="H245" s="1">
        <v>46187</v>
      </c>
      <c r="I245" t="s">
        <v>17</v>
      </c>
      <c r="J245">
        <v>70102</v>
      </c>
      <c r="K245" t="s">
        <v>32</v>
      </c>
      <c r="L245" t="s">
        <v>28</v>
      </c>
      <c r="M245" t="str">
        <f t="shared" si="3"/>
        <v>Jun</v>
      </c>
    </row>
    <row r="246" spans="1:13" x14ac:dyDescent="0.3">
      <c r="A246" t="s">
        <v>298</v>
      </c>
      <c r="B246" t="s">
        <v>21</v>
      </c>
      <c r="C246" t="s">
        <v>22</v>
      </c>
      <c r="D246">
        <v>63</v>
      </c>
      <c r="E246" t="s">
        <v>48</v>
      </c>
      <c r="F246" t="s">
        <v>43</v>
      </c>
      <c r="G246" s="1">
        <v>46167</v>
      </c>
      <c r="H246" s="1">
        <v>46169</v>
      </c>
      <c r="I246" t="s">
        <v>63</v>
      </c>
      <c r="J246">
        <v>94416</v>
      </c>
      <c r="K246" t="s">
        <v>18</v>
      </c>
      <c r="L246" t="s">
        <v>28</v>
      </c>
      <c r="M246" t="str">
        <f t="shared" si="3"/>
        <v>May</v>
      </c>
    </row>
    <row r="247" spans="1:13" x14ac:dyDescent="0.3">
      <c r="A247" t="s">
        <v>299</v>
      </c>
      <c r="B247" t="s">
        <v>65</v>
      </c>
      <c r="C247" t="s">
        <v>22</v>
      </c>
      <c r="D247">
        <v>28</v>
      </c>
      <c r="E247" t="s">
        <v>53</v>
      </c>
      <c r="F247" t="s">
        <v>16</v>
      </c>
      <c r="G247" s="1">
        <v>46177</v>
      </c>
      <c r="H247" s="1">
        <v>46178</v>
      </c>
      <c r="I247" t="s">
        <v>17</v>
      </c>
      <c r="J247">
        <v>112310</v>
      </c>
      <c r="K247" t="s">
        <v>32</v>
      </c>
      <c r="L247" t="s">
        <v>19</v>
      </c>
      <c r="M247" t="str">
        <f t="shared" si="3"/>
        <v>Jun</v>
      </c>
    </row>
    <row r="248" spans="1:13" x14ac:dyDescent="0.3">
      <c r="A248" t="s">
        <v>300</v>
      </c>
      <c r="B248" t="s">
        <v>72</v>
      </c>
      <c r="C248" t="s">
        <v>14</v>
      </c>
      <c r="D248">
        <v>65</v>
      </c>
      <c r="E248" t="s">
        <v>61</v>
      </c>
      <c r="F248" t="s">
        <v>54</v>
      </c>
      <c r="G248" s="1">
        <v>46168</v>
      </c>
      <c r="H248" s="1">
        <v>46171</v>
      </c>
      <c r="I248" t="s">
        <v>17</v>
      </c>
      <c r="J248">
        <v>94972</v>
      </c>
      <c r="K248" t="s">
        <v>24</v>
      </c>
      <c r="L248" t="s">
        <v>25</v>
      </c>
      <c r="M248" t="str">
        <f t="shared" si="3"/>
        <v>May</v>
      </c>
    </row>
    <row r="249" spans="1:13" x14ac:dyDescent="0.3">
      <c r="A249" t="s">
        <v>301</v>
      </c>
      <c r="B249" t="s">
        <v>57</v>
      </c>
      <c r="C249" t="s">
        <v>14</v>
      </c>
      <c r="D249">
        <v>11</v>
      </c>
      <c r="E249" t="s">
        <v>45</v>
      </c>
      <c r="F249" t="s">
        <v>23</v>
      </c>
      <c r="G249" s="1">
        <v>46092</v>
      </c>
      <c r="H249" s="1">
        <v>46097</v>
      </c>
      <c r="I249" t="s">
        <v>40</v>
      </c>
      <c r="J249">
        <v>61950</v>
      </c>
      <c r="K249" t="s">
        <v>18</v>
      </c>
      <c r="L249" t="s">
        <v>19</v>
      </c>
      <c r="M249" t="str">
        <f t="shared" si="3"/>
        <v>Mar</v>
      </c>
    </row>
    <row r="250" spans="1:13" x14ac:dyDescent="0.3">
      <c r="A250" t="s">
        <v>302</v>
      </c>
      <c r="B250" t="s">
        <v>97</v>
      </c>
      <c r="C250" t="s">
        <v>22</v>
      </c>
      <c r="D250">
        <v>12</v>
      </c>
      <c r="E250" t="s">
        <v>15</v>
      </c>
      <c r="F250" t="s">
        <v>23</v>
      </c>
      <c r="G250" s="1">
        <v>46036</v>
      </c>
      <c r="H250" s="1">
        <v>46037</v>
      </c>
      <c r="I250" t="s">
        <v>63</v>
      </c>
      <c r="J250">
        <v>7621</v>
      </c>
      <c r="K250" t="s">
        <v>32</v>
      </c>
      <c r="L250" t="s">
        <v>28</v>
      </c>
      <c r="M250" t="str">
        <f t="shared" si="3"/>
        <v>Jan</v>
      </c>
    </row>
    <row r="251" spans="1:13" x14ac:dyDescent="0.3">
      <c r="A251" t="s">
        <v>303</v>
      </c>
      <c r="B251" t="s">
        <v>39</v>
      </c>
      <c r="C251" t="s">
        <v>14</v>
      </c>
      <c r="D251">
        <v>74</v>
      </c>
      <c r="E251" t="s">
        <v>61</v>
      </c>
      <c r="F251" t="s">
        <v>16</v>
      </c>
      <c r="G251" s="1">
        <v>46038</v>
      </c>
      <c r="H251" s="1">
        <v>46040</v>
      </c>
      <c r="I251" t="s">
        <v>40</v>
      </c>
      <c r="J251">
        <v>47519</v>
      </c>
      <c r="K251" t="s">
        <v>18</v>
      </c>
      <c r="L251" t="s">
        <v>28</v>
      </c>
      <c r="M251" t="str">
        <f t="shared" si="3"/>
        <v>Jan</v>
      </c>
    </row>
    <row r="252" spans="1:13" x14ac:dyDescent="0.3">
      <c r="A252" t="s">
        <v>304</v>
      </c>
      <c r="B252" t="s">
        <v>79</v>
      </c>
      <c r="C252" t="s">
        <v>14</v>
      </c>
      <c r="D252">
        <v>78</v>
      </c>
      <c r="E252" t="s">
        <v>15</v>
      </c>
      <c r="F252" t="s">
        <v>43</v>
      </c>
      <c r="G252" s="1">
        <v>46187</v>
      </c>
      <c r="H252" s="1">
        <v>46193</v>
      </c>
      <c r="I252" t="s">
        <v>40</v>
      </c>
      <c r="J252">
        <v>30766</v>
      </c>
      <c r="K252" t="s">
        <v>37</v>
      </c>
      <c r="L252" t="s">
        <v>28</v>
      </c>
      <c r="M252" t="str">
        <f t="shared" si="3"/>
        <v>Jun</v>
      </c>
    </row>
    <row r="253" spans="1:13" x14ac:dyDescent="0.3">
      <c r="A253" t="s">
        <v>305</v>
      </c>
      <c r="B253" t="s">
        <v>65</v>
      </c>
      <c r="C253" t="s">
        <v>14</v>
      </c>
      <c r="D253">
        <v>44</v>
      </c>
      <c r="E253" t="s">
        <v>45</v>
      </c>
      <c r="F253" t="s">
        <v>43</v>
      </c>
      <c r="G253" s="1">
        <v>46135</v>
      </c>
      <c r="H253" s="1">
        <v>46138</v>
      </c>
      <c r="I253" t="s">
        <v>36</v>
      </c>
      <c r="J253">
        <v>97440</v>
      </c>
      <c r="K253" t="s">
        <v>18</v>
      </c>
      <c r="L253" t="s">
        <v>25</v>
      </c>
      <c r="M253" t="str">
        <f t="shared" si="3"/>
        <v>Apr</v>
      </c>
    </row>
    <row r="254" spans="1:13" x14ac:dyDescent="0.3">
      <c r="A254" t="s">
        <v>306</v>
      </c>
      <c r="B254" t="s">
        <v>72</v>
      </c>
      <c r="C254" t="s">
        <v>22</v>
      </c>
      <c r="D254">
        <v>16</v>
      </c>
      <c r="E254" t="s">
        <v>53</v>
      </c>
      <c r="F254" t="s">
        <v>35</v>
      </c>
      <c r="G254" s="1">
        <v>46158</v>
      </c>
      <c r="H254" s="1">
        <v>46161</v>
      </c>
      <c r="I254" t="s">
        <v>17</v>
      </c>
      <c r="J254">
        <v>48557</v>
      </c>
      <c r="K254" t="s">
        <v>24</v>
      </c>
      <c r="L254" t="s">
        <v>28</v>
      </c>
      <c r="M254" t="str">
        <f t="shared" si="3"/>
        <v>May</v>
      </c>
    </row>
    <row r="255" spans="1:13" x14ac:dyDescent="0.3">
      <c r="A255" t="s">
        <v>307</v>
      </c>
      <c r="B255" t="s">
        <v>30</v>
      </c>
      <c r="C255" t="s">
        <v>14</v>
      </c>
      <c r="D255">
        <v>76</v>
      </c>
      <c r="E255" t="s">
        <v>45</v>
      </c>
      <c r="F255" t="s">
        <v>16</v>
      </c>
      <c r="G255" s="1">
        <v>46164</v>
      </c>
      <c r="H255" s="1">
        <v>46168</v>
      </c>
      <c r="I255" t="s">
        <v>36</v>
      </c>
      <c r="J255">
        <v>40581</v>
      </c>
      <c r="K255" t="s">
        <v>24</v>
      </c>
      <c r="L255" t="s">
        <v>25</v>
      </c>
      <c r="M255" t="str">
        <f t="shared" si="3"/>
        <v>May</v>
      </c>
    </row>
    <row r="256" spans="1:13" x14ac:dyDescent="0.3">
      <c r="A256" t="s">
        <v>308</v>
      </c>
      <c r="B256" t="s">
        <v>50</v>
      </c>
      <c r="C256" t="s">
        <v>22</v>
      </c>
      <c r="D256">
        <v>53</v>
      </c>
      <c r="E256" t="s">
        <v>48</v>
      </c>
      <c r="F256" t="s">
        <v>54</v>
      </c>
      <c r="G256" s="1">
        <v>46081</v>
      </c>
      <c r="H256" s="1">
        <v>46083</v>
      </c>
      <c r="I256" t="s">
        <v>36</v>
      </c>
      <c r="J256">
        <v>25329</v>
      </c>
      <c r="K256" t="s">
        <v>32</v>
      </c>
      <c r="L256" t="s">
        <v>28</v>
      </c>
      <c r="M256" t="str">
        <f t="shared" si="3"/>
        <v>Feb</v>
      </c>
    </row>
    <row r="257" spans="1:13" x14ac:dyDescent="0.3">
      <c r="A257" t="s">
        <v>309</v>
      </c>
      <c r="B257" t="s">
        <v>39</v>
      </c>
      <c r="C257" t="s">
        <v>22</v>
      </c>
      <c r="D257">
        <v>68</v>
      </c>
      <c r="E257" t="s">
        <v>15</v>
      </c>
      <c r="F257" t="s">
        <v>43</v>
      </c>
      <c r="G257" s="1">
        <v>46040</v>
      </c>
      <c r="H257" s="1">
        <v>46049</v>
      </c>
      <c r="I257" t="s">
        <v>27</v>
      </c>
      <c r="J257">
        <v>62806</v>
      </c>
      <c r="K257" t="s">
        <v>32</v>
      </c>
      <c r="L257" t="s">
        <v>25</v>
      </c>
      <c r="M257" t="str">
        <f t="shared" si="3"/>
        <v>Jan</v>
      </c>
    </row>
    <row r="258" spans="1:13" x14ac:dyDescent="0.3">
      <c r="A258" t="s">
        <v>310</v>
      </c>
      <c r="B258" t="s">
        <v>50</v>
      </c>
      <c r="C258" t="s">
        <v>14</v>
      </c>
      <c r="D258">
        <v>11</v>
      </c>
      <c r="E258" t="s">
        <v>48</v>
      </c>
      <c r="F258" t="s">
        <v>23</v>
      </c>
      <c r="G258" s="1">
        <v>46084</v>
      </c>
      <c r="H258" s="1">
        <v>46090</v>
      </c>
      <c r="I258" t="s">
        <v>40</v>
      </c>
      <c r="J258">
        <v>110425</v>
      </c>
      <c r="K258" t="s">
        <v>37</v>
      </c>
      <c r="L258" t="s">
        <v>28</v>
      </c>
      <c r="M258" t="str">
        <f t="shared" si="3"/>
        <v>Mar</v>
      </c>
    </row>
    <row r="259" spans="1:13" x14ac:dyDescent="0.3">
      <c r="A259" t="s">
        <v>311</v>
      </c>
      <c r="B259" t="s">
        <v>34</v>
      </c>
      <c r="C259" t="s">
        <v>22</v>
      </c>
      <c r="D259">
        <v>37</v>
      </c>
      <c r="E259" t="s">
        <v>15</v>
      </c>
      <c r="F259" t="s">
        <v>16</v>
      </c>
      <c r="G259" s="1">
        <v>46133</v>
      </c>
      <c r="H259" s="1">
        <v>46140</v>
      </c>
      <c r="I259" t="s">
        <v>27</v>
      </c>
      <c r="J259">
        <v>35369</v>
      </c>
      <c r="K259" t="s">
        <v>32</v>
      </c>
      <c r="L259" t="s">
        <v>25</v>
      </c>
      <c r="M259" t="str">
        <f t="shared" ref="M259:M301" si="4">TEXT(G259,"mmm")</f>
        <v>Apr</v>
      </c>
    </row>
    <row r="260" spans="1:13" x14ac:dyDescent="0.3">
      <c r="A260" t="s">
        <v>312</v>
      </c>
      <c r="B260" t="s">
        <v>21</v>
      </c>
      <c r="C260" t="s">
        <v>14</v>
      </c>
      <c r="D260">
        <v>34</v>
      </c>
      <c r="E260" t="s">
        <v>53</v>
      </c>
      <c r="F260" t="s">
        <v>35</v>
      </c>
      <c r="G260" s="1">
        <v>46103</v>
      </c>
      <c r="H260" s="1">
        <v>46109</v>
      </c>
      <c r="I260" t="s">
        <v>36</v>
      </c>
      <c r="J260">
        <v>100558</v>
      </c>
      <c r="K260" t="s">
        <v>18</v>
      </c>
      <c r="L260" t="s">
        <v>25</v>
      </c>
      <c r="M260" t="str">
        <f t="shared" si="4"/>
        <v>Mar</v>
      </c>
    </row>
    <row r="261" spans="1:13" x14ac:dyDescent="0.3">
      <c r="A261" t="s">
        <v>313</v>
      </c>
      <c r="B261" t="s">
        <v>97</v>
      </c>
      <c r="C261" t="s">
        <v>14</v>
      </c>
      <c r="D261">
        <v>77</v>
      </c>
      <c r="E261" t="s">
        <v>45</v>
      </c>
      <c r="F261" t="s">
        <v>35</v>
      </c>
      <c r="G261" s="1">
        <v>46173</v>
      </c>
      <c r="H261" s="1">
        <v>46179</v>
      </c>
      <c r="I261" t="s">
        <v>51</v>
      </c>
      <c r="J261">
        <v>5953</v>
      </c>
      <c r="K261" t="s">
        <v>32</v>
      </c>
      <c r="L261" t="s">
        <v>19</v>
      </c>
      <c r="M261" t="str">
        <f t="shared" si="4"/>
        <v>May</v>
      </c>
    </row>
    <row r="262" spans="1:13" x14ac:dyDescent="0.3">
      <c r="A262" t="s">
        <v>314</v>
      </c>
      <c r="B262" t="s">
        <v>72</v>
      </c>
      <c r="C262" t="s">
        <v>14</v>
      </c>
      <c r="D262">
        <v>50</v>
      </c>
      <c r="E262" t="s">
        <v>45</v>
      </c>
      <c r="F262" t="s">
        <v>54</v>
      </c>
      <c r="G262" s="1">
        <v>46049</v>
      </c>
      <c r="H262" s="1">
        <v>46058</v>
      </c>
      <c r="I262" t="s">
        <v>63</v>
      </c>
      <c r="J262">
        <v>93644</v>
      </c>
      <c r="K262" t="s">
        <v>37</v>
      </c>
      <c r="L262" t="s">
        <v>25</v>
      </c>
      <c r="M262" t="str">
        <f t="shared" si="4"/>
        <v>Jan</v>
      </c>
    </row>
    <row r="263" spans="1:13" x14ac:dyDescent="0.3">
      <c r="A263" t="s">
        <v>315</v>
      </c>
      <c r="B263" t="s">
        <v>39</v>
      </c>
      <c r="C263" t="s">
        <v>22</v>
      </c>
      <c r="D263">
        <v>40</v>
      </c>
      <c r="E263" t="s">
        <v>15</v>
      </c>
      <c r="F263" t="s">
        <v>23</v>
      </c>
      <c r="G263" s="1">
        <v>46094</v>
      </c>
      <c r="H263" s="1">
        <v>46102</v>
      </c>
      <c r="I263" t="s">
        <v>63</v>
      </c>
      <c r="J263">
        <v>13574</v>
      </c>
      <c r="K263" t="s">
        <v>37</v>
      </c>
      <c r="L263" t="s">
        <v>19</v>
      </c>
      <c r="M263" t="str">
        <f t="shared" si="4"/>
        <v>Mar</v>
      </c>
    </row>
    <row r="264" spans="1:13" x14ac:dyDescent="0.3">
      <c r="A264" t="s">
        <v>316</v>
      </c>
      <c r="B264" t="s">
        <v>50</v>
      </c>
      <c r="C264" t="s">
        <v>22</v>
      </c>
      <c r="D264">
        <v>23</v>
      </c>
      <c r="E264" t="s">
        <v>31</v>
      </c>
      <c r="F264" t="s">
        <v>35</v>
      </c>
      <c r="G264" s="1">
        <v>46152</v>
      </c>
      <c r="H264" s="1">
        <v>46159</v>
      </c>
      <c r="I264" t="s">
        <v>40</v>
      </c>
      <c r="J264">
        <v>101019</v>
      </c>
      <c r="K264" t="s">
        <v>37</v>
      </c>
      <c r="L264" t="s">
        <v>19</v>
      </c>
      <c r="M264" t="str">
        <f t="shared" si="4"/>
        <v>May</v>
      </c>
    </row>
    <row r="265" spans="1:13" x14ac:dyDescent="0.3">
      <c r="A265" t="s">
        <v>317</v>
      </c>
      <c r="B265" t="s">
        <v>60</v>
      </c>
      <c r="C265" t="s">
        <v>22</v>
      </c>
      <c r="D265">
        <v>58</v>
      </c>
      <c r="E265" t="s">
        <v>61</v>
      </c>
      <c r="F265" t="s">
        <v>43</v>
      </c>
      <c r="G265" s="1">
        <v>46066</v>
      </c>
      <c r="H265" s="1">
        <v>46075</v>
      </c>
      <c r="I265" t="s">
        <v>27</v>
      </c>
      <c r="J265">
        <v>57790</v>
      </c>
      <c r="K265" t="s">
        <v>32</v>
      </c>
      <c r="L265" t="s">
        <v>25</v>
      </c>
      <c r="M265" t="str">
        <f t="shared" si="4"/>
        <v>Feb</v>
      </c>
    </row>
    <row r="266" spans="1:13" x14ac:dyDescent="0.3">
      <c r="A266" t="s">
        <v>318</v>
      </c>
      <c r="B266" t="s">
        <v>13</v>
      </c>
      <c r="C266" t="s">
        <v>22</v>
      </c>
      <c r="D266">
        <v>11</v>
      </c>
      <c r="E266" t="s">
        <v>15</v>
      </c>
      <c r="F266" t="s">
        <v>54</v>
      </c>
      <c r="G266" s="1">
        <v>46121</v>
      </c>
      <c r="H266" s="1">
        <v>46127</v>
      </c>
      <c r="I266" t="s">
        <v>63</v>
      </c>
      <c r="J266">
        <v>102463</v>
      </c>
      <c r="K266" t="s">
        <v>24</v>
      </c>
      <c r="L266" t="s">
        <v>28</v>
      </c>
      <c r="M266" t="str">
        <f t="shared" si="4"/>
        <v>Apr</v>
      </c>
    </row>
    <row r="267" spans="1:13" x14ac:dyDescent="0.3">
      <c r="A267" t="s">
        <v>319</v>
      </c>
      <c r="B267" t="s">
        <v>125</v>
      </c>
      <c r="C267" t="s">
        <v>22</v>
      </c>
      <c r="D267">
        <v>42</v>
      </c>
      <c r="E267" t="s">
        <v>15</v>
      </c>
      <c r="F267" t="s">
        <v>16</v>
      </c>
      <c r="G267" s="1">
        <v>46202</v>
      </c>
      <c r="H267" s="1">
        <v>46208</v>
      </c>
      <c r="I267" t="s">
        <v>40</v>
      </c>
      <c r="J267">
        <v>87522</v>
      </c>
      <c r="K267" t="s">
        <v>32</v>
      </c>
      <c r="L267" t="s">
        <v>25</v>
      </c>
      <c r="M267" t="str">
        <f t="shared" si="4"/>
        <v>Jun</v>
      </c>
    </row>
    <row r="268" spans="1:13" x14ac:dyDescent="0.3">
      <c r="A268" t="s">
        <v>320</v>
      </c>
      <c r="B268" t="s">
        <v>79</v>
      </c>
      <c r="C268" t="s">
        <v>22</v>
      </c>
      <c r="D268">
        <v>16</v>
      </c>
      <c r="E268" t="s">
        <v>48</v>
      </c>
      <c r="F268" t="s">
        <v>43</v>
      </c>
      <c r="G268" s="1">
        <v>46184</v>
      </c>
      <c r="H268" s="1">
        <v>46194</v>
      </c>
      <c r="I268" t="s">
        <v>17</v>
      </c>
      <c r="J268">
        <v>80741</v>
      </c>
      <c r="K268" t="s">
        <v>18</v>
      </c>
      <c r="L268" t="s">
        <v>19</v>
      </c>
      <c r="M268" t="str">
        <f t="shared" si="4"/>
        <v>Jun</v>
      </c>
    </row>
    <row r="269" spans="1:13" x14ac:dyDescent="0.3">
      <c r="A269" t="s">
        <v>321</v>
      </c>
      <c r="B269" t="s">
        <v>57</v>
      </c>
      <c r="C269" t="s">
        <v>14</v>
      </c>
      <c r="D269">
        <v>60</v>
      </c>
      <c r="E269" t="s">
        <v>31</v>
      </c>
      <c r="F269" t="s">
        <v>54</v>
      </c>
      <c r="G269" s="1">
        <v>46029</v>
      </c>
      <c r="H269" s="1">
        <v>46038</v>
      </c>
      <c r="I269" t="s">
        <v>40</v>
      </c>
      <c r="J269">
        <v>21618</v>
      </c>
      <c r="K269" t="s">
        <v>37</v>
      </c>
      <c r="L269" t="s">
        <v>28</v>
      </c>
      <c r="M269" t="str">
        <f t="shared" si="4"/>
        <v>Jan</v>
      </c>
    </row>
    <row r="270" spans="1:13" x14ac:dyDescent="0.3">
      <c r="A270" t="s">
        <v>322</v>
      </c>
      <c r="B270" t="s">
        <v>72</v>
      </c>
      <c r="C270" t="s">
        <v>22</v>
      </c>
      <c r="D270">
        <v>18</v>
      </c>
      <c r="E270" t="s">
        <v>48</v>
      </c>
      <c r="F270" t="s">
        <v>23</v>
      </c>
      <c r="G270" s="1">
        <v>46054</v>
      </c>
      <c r="H270" s="1">
        <v>46063</v>
      </c>
      <c r="I270" t="s">
        <v>36</v>
      </c>
      <c r="J270">
        <v>71613</v>
      </c>
      <c r="K270" t="s">
        <v>24</v>
      </c>
      <c r="L270" t="s">
        <v>19</v>
      </c>
      <c r="M270" t="str">
        <f t="shared" si="4"/>
        <v>Feb</v>
      </c>
    </row>
    <row r="271" spans="1:13" x14ac:dyDescent="0.3">
      <c r="A271" t="s">
        <v>323</v>
      </c>
      <c r="B271" t="s">
        <v>65</v>
      </c>
      <c r="C271" t="s">
        <v>22</v>
      </c>
      <c r="D271">
        <v>66</v>
      </c>
      <c r="E271" t="s">
        <v>48</v>
      </c>
      <c r="F271" t="s">
        <v>54</v>
      </c>
      <c r="G271" s="1">
        <v>46128</v>
      </c>
      <c r="H271" s="1">
        <v>46136</v>
      </c>
      <c r="I271" t="s">
        <v>27</v>
      </c>
      <c r="J271">
        <v>91429</v>
      </c>
      <c r="K271" t="s">
        <v>24</v>
      </c>
      <c r="L271" t="s">
        <v>28</v>
      </c>
      <c r="M271" t="str">
        <f t="shared" si="4"/>
        <v>Apr</v>
      </c>
    </row>
    <row r="272" spans="1:13" x14ac:dyDescent="0.3">
      <c r="A272" t="s">
        <v>324</v>
      </c>
      <c r="B272" t="s">
        <v>60</v>
      </c>
      <c r="C272" t="s">
        <v>14</v>
      </c>
      <c r="D272">
        <v>38</v>
      </c>
      <c r="E272" t="s">
        <v>31</v>
      </c>
      <c r="F272" t="s">
        <v>54</v>
      </c>
      <c r="G272" s="1">
        <v>46125</v>
      </c>
      <c r="H272" s="1">
        <v>46126</v>
      </c>
      <c r="I272" t="s">
        <v>27</v>
      </c>
      <c r="J272">
        <v>62562</v>
      </c>
      <c r="K272" t="s">
        <v>24</v>
      </c>
      <c r="L272" t="s">
        <v>28</v>
      </c>
      <c r="M272" t="str">
        <f t="shared" si="4"/>
        <v>Apr</v>
      </c>
    </row>
    <row r="273" spans="1:13" x14ac:dyDescent="0.3">
      <c r="A273" t="s">
        <v>325</v>
      </c>
      <c r="B273" t="s">
        <v>42</v>
      </c>
      <c r="C273" t="s">
        <v>22</v>
      </c>
      <c r="D273">
        <v>69</v>
      </c>
      <c r="E273" t="s">
        <v>31</v>
      </c>
      <c r="F273" t="s">
        <v>23</v>
      </c>
      <c r="G273" s="1">
        <v>46048</v>
      </c>
      <c r="H273" s="1">
        <v>46058</v>
      </c>
      <c r="I273" t="s">
        <v>51</v>
      </c>
      <c r="J273">
        <v>19535</v>
      </c>
      <c r="K273" t="s">
        <v>24</v>
      </c>
      <c r="L273" t="s">
        <v>28</v>
      </c>
      <c r="M273" t="str">
        <f t="shared" si="4"/>
        <v>Jan</v>
      </c>
    </row>
    <row r="274" spans="1:13" x14ac:dyDescent="0.3">
      <c r="A274" t="s">
        <v>326</v>
      </c>
      <c r="B274" t="s">
        <v>50</v>
      </c>
      <c r="C274" t="s">
        <v>14</v>
      </c>
      <c r="D274">
        <v>20</v>
      </c>
      <c r="E274" t="s">
        <v>45</v>
      </c>
      <c r="F274" t="s">
        <v>23</v>
      </c>
      <c r="G274" s="1">
        <v>46175</v>
      </c>
      <c r="H274" s="1">
        <v>46180</v>
      </c>
      <c r="I274" t="s">
        <v>51</v>
      </c>
      <c r="J274">
        <v>35363</v>
      </c>
      <c r="K274" t="s">
        <v>32</v>
      </c>
      <c r="L274" t="s">
        <v>28</v>
      </c>
      <c r="M274" t="str">
        <f t="shared" si="4"/>
        <v>Jun</v>
      </c>
    </row>
    <row r="275" spans="1:13" x14ac:dyDescent="0.3">
      <c r="A275" t="s">
        <v>327</v>
      </c>
      <c r="B275" t="s">
        <v>72</v>
      </c>
      <c r="C275" t="s">
        <v>22</v>
      </c>
      <c r="D275">
        <v>37</v>
      </c>
      <c r="E275" t="s">
        <v>31</v>
      </c>
      <c r="F275" t="s">
        <v>16</v>
      </c>
      <c r="G275" s="1">
        <v>46118</v>
      </c>
      <c r="H275" s="1">
        <v>46124</v>
      </c>
      <c r="I275" t="s">
        <v>36</v>
      </c>
      <c r="J275">
        <v>49174</v>
      </c>
      <c r="K275" t="s">
        <v>32</v>
      </c>
      <c r="L275" t="s">
        <v>28</v>
      </c>
      <c r="M275" t="str">
        <f t="shared" si="4"/>
        <v>Apr</v>
      </c>
    </row>
    <row r="276" spans="1:13" x14ac:dyDescent="0.3">
      <c r="A276" t="s">
        <v>328</v>
      </c>
      <c r="B276" t="s">
        <v>65</v>
      </c>
      <c r="C276" t="s">
        <v>22</v>
      </c>
      <c r="D276">
        <v>5</v>
      </c>
      <c r="E276" t="s">
        <v>61</v>
      </c>
      <c r="F276" t="s">
        <v>23</v>
      </c>
      <c r="G276" s="1">
        <v>46092</v>
      </c>
      <c r="H276" s="1">
        <v>46093</v>
      </c>
      <c r="I276" t="s">
        <v>51</v>
      </c>
      <c r="J276">
        <v>84659</v>
      </c>
      <c r="K276" t="s">
        <v>32</v>
      </c>
      <c r="L276" t="s">
        <v>19</v>
      </c>
      <c r="M276" t="str">
        <f t="shared" si="4"/>
        <v>Mar</v>
      </c>
    </row>
    <row r="277" spans="1:13" x14ac:dyDescent="0.3">
      <c r="A277" t="s">
        <v>329</v>
      </c>
      <c r="B277" t="s">
        <v>21</v>
      </c>
      <c r="C277" t="s">
        <v>14</v>
      </c>
      <c r="D277">
        <v>40</v>
      </c>
      <c r="E277" t="s">
        <v>31</v>
      </c>
      <c r="F277" t="s">
        <v>16</v>
      </c>
      <c r="G277" s="1">
        <v>46046</v>
      </c>
      <c r="H277" s="1">
        <v>46051</v>
      </c>
      <c r="I277" t="s">
        <v>63</v>
      </c>
      <c r="J277">
        <v>114155</v>
      </c>
      <c r="K277" t="s">
        <v>24</v>
      </c>
      <c r="L277" t="s">
        <v>28</v>
      </c>
      <c r="M277" t="str">
        <f t="shared" si="4"/>
        <v>Jan</v>
      </c>
    </row>
    <row r="278" spans="1:13" x14ac:dyDescent="0.3">
      <c r="A278" t="s">
        <v>330</v>
      </c>
      <c r="B278" t="s">
        <v>47</v>
      </c>
      <c r="C278" t="s">
        <v>14</v>
      </c>
      <c r="D278">
        <v>8</v>
      </c>
      <c r="E278" t="s">
        <v>45</v>
      </c>
      <c r="F278" t="s">
        <v>23</v>
      </c>
      <c r="G278" s="1">
        <v>46029</v>
      </c>
      <c r="H278" s="1">
        <v>46035</v>
      </c>
      <c r="I278" t="s">
        <v>63</v>
      </c>
      <c r="J278">
        <v>66330</v>
      </c>
      <c r="K278" t="s">
        <v>32</v>
      </c>
      <c r="L278" t="s">
        <v>19</v>
      </c>
      <c r="M278" t="str">
        <f t="shared" si="4"/>
        <v>Jan</v>
      </c>
    </row>
    <row r="279" spans="1:13" x14ac:dyDescent="0.3">
      <c r="A279" t="s">
        <v>331</v>
      </c>
      <c r="B279" t="s">
        <v>39</v>
      </c>
      <c r="C279" t="s">
        <v>14</v>
      </c>
      <c r="D279">
        <v>41</v>
      </c>
      <c r="E279" t="s">
        <v>61</v>
      </c>
      <c r="F279" t="s">
        <v>35</v>
      </c>
      <c r="G279" s="1">
        <v>46082</v>
      </c>
      <c r="H279" s="1">
        <v>46087</v>
      </c>
      <c r="I279" t="s">
        <v>17</v>
      </c>
      <c r="J279">
        <v>57884</v>
      </c>
      <c r="K279" t="s">
        <v>37</v>
      </c>
      <c r="L279" t="s">
        <v>25</v>
      </c>
      <c r="M279" t="str">
        <f t="shared" si="4"/>
        <v>Mar</v>
      </c>
    </row>
    <row r="280" spans="1:13" x14ac:dyDescent="0.3">
      <c r="A280" t="s">
        <v>332</v>
      </c>
      <c r="B280" t="s">
        <v>60</v>
      </c>
      <c r="C280" t="s">
        <v>14</v>
      </c>
      <c r="D280">
        <v>30</v>
      </c>
      <c r="E280" t="s">
        <v>61</v>
      </c>
      <c r="F280" t="s">
        <v>43</v>
      </c>
      <c r="G280" s="1">
        <v>46049</v>
      </c>
      <c r="H280" s="1">
        <v>46057</v>
      </c>
      <c r="I280" t="s">
        <v>40</v>
      </c>
      <c r="J280">
        <v>41173</v>
      </c>
      <c r="K280" t="s">
        <v>32</v>
      </c>
      <c r="L280" t="s">
        <v>28</v>
      </c>
      <c r="M280" t="str">
        <f t="shared" si="4"/>
        <v>Jan</v>
      </c>
    </row>
    <row r="281" spans="1:13" x14ac:dyDescent="0.3">
      <c r="A281" t="s">
        <v>333</v>
      </c>
      <c r="B281" t="s">
        <v>72</v>
      </c>
      <c r="C281" t="s">
        <v>22</v>
      </c>
      <c r="D281">
        <v>34</v>
      </c>
      <c r="E281" t="s">
        <v>53</v>
      </c>
      <c r="F281" t="s">
        <v>54</v>
      </c>
      <c r="G281" s="1">
        <v>46085</v>
      </c>
      <c r="H281" s="1">
        <v>46095</v>
      </c>
      <c r="I281" t="s">
        <v>63</v>
      </c>
      <c r="J281">
        <v>48380</v>
      </c>
      <c r="K281" t="s">
        <v>32</v>
      </c>
      <c r="L281" t="s">
        <v>28</v>
      </c>
      <c r="M281" t="str">
        <f t="shared" si="4"/>
        <v>Mar</v>
      </c>
    </row>
    <row r="282" spans="1:13" x14ac:dyDescent="0.3">
      <c r="A282" t="s">
        <v>334</v>
      </c>
      <c r="B282" t="s">
        <v>60</v>
      </c>
      <c r="C282" t="s">
        <v>22</v>
      </c>
      <c r="D282">
        <v>58</v>
      </c>
      <c r="E282" t="s">
        <v>53</v>
      </c>
      <c r="F282" t="s">
        <v>43</v>
      </c>
      <c r="G282" s="1">
        <v>46093</v>
      </c>
      <c r="H282" s="1">
        <v>46095</v>
      </c>
      <c r="I282" t="s">
        <v>36</v>
      </c>
      <c r="J282">
        <v>17445</v>
      </c>
      <c r="K282" t="s">
        <v>32</v>
      </c>
      <c r="L282" t="s">
        <v>25</v>
      </c>
      <c r="M282" t="str">
        <f t="shared" si="4"/>
        <v>Mar</v>
      </c>
    </row>
    <row r="283" spans="1:13" x14ac:dyDescent="0.3">
      <c r="A283" t="s">
        <v>335</v>
      </c>
      <c r="B283" t="s">
        <v>65</v>
      </c>
      <c r="C283" t="s">
        <v>14</v>
      </c>
      <c r="D283">
        <v>12</v>
      </c>
      <c r="E283" t="s">
        <v>48</v>
      </c>
      <c r="F283" t="s">
        <v>23</v>
      </c>
      <c r="G283" s="1">
        <v>46109</v>
      </c>
      <c r="H283" s="1">
        <v>46118</v>
      </c>
      <c r="I283" t="s">
        <v>27</v>
      </c>
      <c r="J283">
        <v>24768</v>
      </c>
      <c r="K283" t="s">
        <v>18</v>
      </c>
      <c r="L283" t="s">
        <v>25</v>
      </c>
      <c r="M283" t="str">
        <f t="shared" si="4"/>
        <v>Mar</v>
      </c>
    </row>
    <row r="284" spans="1:13" x14ac:dyDescent="0.3">
      <c r="A284" t="s">
        <v>336</v>
      </c>
      <c r="B284" t="s">
        <v>97</v>
      </c>
      <c r="C284" t="s">
        <v>14</v>
      </c>
      <c r="D284">
        <v>22</v>
      </c>
      <c r="E284" t="s">
        <v>61</v>
      </c>
      <c r="F284" t="s">
        <v>16</v>
      </c>
      <c r="G284" s="1">
        <v>46152</v>
      </c>
      <c r="H284" s="1">
        <v>46155</v>
      </c>
      <c r="I284" t="s">
        <v>63</v>
      </c>
      <c r="J284">
        <v>75533</v>
      </c>
      <c r="K284" t="s">
        <v>32</v>
      </c>
      <c r="L284" t="s">
        <v>19</v>
      </c>
      <c r="M284" t="str">
        <f t="shared" si="4"/>
        <v>May</v>
      </c>
    </row>
    <row r="285" spans="1:13" x14ac:dyDescent="0.3">
      <c r="A285" t="s">
        <v>337</v>
      </c>
      <c r="B285" t="s">
        <v>97</v>
      </c>
      <c r="C285" t="s">
        <v>14</v>
      </c>
      <c r="D285">
        <v>63</v>
      </c>
      <c r="E285" t="s">
        <v>48</v>
      </c>
      <c r="F285" t="s">
        <v>16</v>
      </c>
      <c r="G285" s="1">
        <v>46098</v>
      </c>
      <c r="H285" s="1">
        <v>46101</v>
      </c>
      <c r="I285" t="s">
        <v>63</v>
      </c>
      <c r="J285">
        <v>71045</v>
      </c>
      <c r="K285" t="s">
        <v>32</v>
      </c>
      <c r="L285" t="s">
        <v>25</v>
      </c>
      <c r="M285" t="str">
        <f t="shared" si="4"/>
        <v>Mar</v>
      </c>
    </row>
    <row r="286" spans="1:13" x14ac:dyDescent="0.3">
      <c r="A286" t="s">
        <v>338</v>
      </c>
      <c r="B286" t="s">
        <v>39</v>
      </c>
      <c r="C286" t="s">
        <v>14</v>
      </c>
      <c r="D286">
        <v>45</v>
      </c>
      <c r="E286" t="s">
        <v>61</v>
      </c>
      <c r="F286" t="s">
        <v>43</v>
      </c>
      <c r="G286" s="1">
        <v>46090</v>
      </c>
      <c r="H286" s="1">
        <v>46099</v>
      </c>
      <c r="I286" t="s">
        <v>36</v>
      </c>
      <c r="J286">
        <v>86689</v>
      </c>
      <c r="K286" t="s">
        <v>24</v>
      </c>
      <c r="L286" t="s">
        <v>25</v>
      </c>
      <c r="M286" t="str">
        <f t="shared" si="4"/>
        <v>Mar</v>
      </c>
    </row>
    <row r="287" spans="1:13" x14ac:dyDescent="0.3">
      <c r="A287" t="s">
        <v>339</v>
      </c>
      <c r="B287" t="s">
        <v>72</v>
      </c>
      <c r="C287" t="s">
        <v>22</v>
      </c>
      <c r="D287">
        <v>7</v>
      </c>
      <c r="E287" t="s">
        <v>15</v>
      </c>
      <c r="F287" t="s">
        <v>23</v>
      </c>
      <c r="G287" s="1">
        <v>46165</v>
      </c>
      <c r="H287" s="1">
        <v>46171</v>
      </c>
      <c r="I287" t="s">
        <v>27</v>
      </c>
      <c r="J287">
        <v>27299</v>
      </c>
      <c r="K287" t="s">
        <v>37</v>
      </c>
      <c r="L287" t="s">
        <v>28</v>
      </c>
      <c r="M287" t="str">
        <f t="shared" si="4"/>
        <v>May</v>
      </c>
    </row>
    <row r="288" spans="1:13" x14ac:dyDescent="0.3">
      <c r="A288" t="s">
        <v>340</v>
      </c>
      <c r="B288" t="s">
        <v>21</v>
      </c>
      <c r="C288" t="s">
        <v>14</v>
      </c>
      <c r="D288">
        <v>60</v>
      </c>
      <c r="E288" t="s">
        <v>61</v>
      </c>
      <c r="F288" t="s">
        <v>23</v>
      </c>
      <c r="G288" s="1">
        <v>46193</v>
      </c>
      <c r="H288" s="1">
        <v>46195</v>
      </c>
      <c r="I288" t="s">
        <v>40</v>
      </c>
      <c r="J288">
        <v>97491</v>
      </c>
      <c r="K288" t="s">
        <v>32</v>
      </c>
      <c r="L288" t="s">
        <v>25</v>
      </c>
      <c r="M288" t="str">
        <f t="shared" si="4"/>
        <v>Jun</v>
      </c>
    </row>
    <row r="289" spans="1:13" x14ac:dyDescent="0.3">
      <c r="A289" t="s">
        <v>341</v>
      </c>
      <c r="B289" t="s">
        <v>47</v>
      </c>
      <c r="C289" t="s">
        <v>14</v>
      </c>
      <c r="D289">
        <v>44</v>
      </c>
      <c r="E289" t="s">
        <v>45</v>
      </c>
      <c r="F289" t="s">
        <v>16</v>
      </c>
      <c r="G289" s="1">
        <v>46171</v>
      </c>
      <c r="H289" s="1">
        <v>46179</v>
      </c>
      <c r="I289" t="s">
        <v>63</v>
      </c>
      <c r="J289">
        <v>65581</v>
      </c>
      <c r="K289" t="s">
        <v>37</v>
      </c>
      <c r="L289" t="s">
        <v>25</v>
      </c>
      <c r="M289" t="str">
        <f t="shared" si="4"/>
        <v>May</v>
      </c>
    </row>
    <row r="290" spans="1:13" x14ac:dyDescent="0.3">
      <c r="A290" t="s">
        <v>342</v>
      </c>
      <c r="B290" t="s">
        <v>30</v>
      </c>
      <c r="C290" t="s">
        <v>22</v>
      </c>
      <c r="D290">
        <v>75</v>
      </c>
      <c r="E290" t="s">
        <v>48</v>
      </c>
      <c r="F290" t="s">
        <v>54</v>
      </c>
      <c r="G290" s="1">
        <v>46047</v>
      </c>
      <c r="H290" s="1">
        <v>46049</v>
      </c>
      <c r="I290" t="s">
        <v>51</v>
      </c>
      <c r="J290">
        <v>106539</v>
      </c>
      <c r="K290" t="s">
        <v>32</v>
      </c>
      <c r="L290" t="s">
        <v>25</v>
      </c>
      <c r="M290" t="str">
        <f t="shared" si="4"/>
        <v>Jan</v>
      </c>
    </row>
    <row r="291" spans="1:13" x14ac:dyDescent="0.3">
      <c r="A291" t="s">
        <v>343</v>
      </c>
      <c r="B291" t="s">
        <v>21</v>
      </c>
      <c r="C291" t="s">
        <v>14</v>
      </c>
      <c r="D291">
        <v>74</v>
      </c>
      <c r="E291" t="s">
        <v>15</v>
      </c>
      <c r="F291" t="s">
        <v>23</v>
      </c>
      <c r="G291" s="1">
        <v>46050</v>
      </c>
      <c r="H291" s="1">
        <v>46058</v>
      </c>
      <c r="I291" t="s">
        <v>17</v>
      </c>
      <c r="J291">
        <v>117300</v>
      </c>
      <c r="K291" t="s">
        <v>18</v>
      </c>
      <c r="L291" t="s">
        <v>19</v>
      </c>
      <c r="M291" t="str">
        <f t="shared" si="4"/>
        <v>Jan</v>
      </c>
    </row>
    <row r="292" spans="1:13" x14ac:dyDescent="0.3">
      <c r="A292" t="s">
        <v>344</v>
      </c>
      <c r="B292" t="s">
        <v>82</v>
      </c>
      <c r="C292" t="s">
        <v>14</v>
      </c>
      <c r="D292">
        <v>75</v>
      </c>
      <c r="E292" t="s">
        <v>31</v>
      </c>
      <c r="F292" t="s">
        <v>16</v>
      </c>
      <c r="G292" s="1">
        <v>46172</v>
      </c>
      <c r="H292" s="1">
        <v>46174</v>
      </c>
      <c r="I292" t="s">
        <v>17</v>
      </c>
      <c r="J292">
        <v>71809</v>
      </c>
      <c r="K292" t="s">
        <v>37</v>
      </c>
      <c r="L292" t="s">
        <v>19</v>
      </c>
      <c r="M292" t="str">
        <f t="shared" si="4"/>
        <v>May</v>
      </c>
    </row>
    <row r="293" spans="1:13" x14ac:dyDescent="0.3">
      <c r="A293" t="s">
        <v>345</v>
      </c>
      <c r="B293" t="s">
        <v>13</v>
      </c>
      <c r="C293" t="s">
        <v>22</v>
      </c>
      <c r="D293">
        <v>72</v>
      </c>
      <c r="E293" t="s">
        <v>45</v>
      </c>
      <c r="F293" t="s">
        <v>16</v>
      </c>
      <c r="G293" s="1">
        <v>46155</v>
      </c>
      <c r="H293" s="1">
        <v>46163</v>
      </c>
      <c r="I293" t="s">
        <v>40</v>
      </c>
      <c r="J293">
        <v>18761</v>
      </c>
      <c r="K293" t="s">
        <v>32</v>
      </c>
      <c r="L293" t="s">
        <v>19</v>
      </c>
      <c r="M293" t="str">
        <f t="shared" si="4"/>
        <v>May</v>
      </c>
    </row>
    <row r="294" spans="1:13" x14ac:dyDescent="0.3">
      <c r="A294" t="s">
        <v>346</v>
      </c>
      <c r="B294" t="s">
        <v>57</v>
      </c>
      <c r="C294" t="s">
        <v>22</v>
      </c>
      <c r="D294">
        <v>29</v>
      </c>
      <c r="E294" t="s">
        <v>53</v>
      </c>
      <c r="F294" t="s">
        <v>54</v>
      </c>
      <c r="G294" s="1">
        <v>46200</v>
      </c>
      <c r="H294" s="1">
        <v>46202</v>
      </c>
      <c r="I294" t="s">
        <v>27</v>
      </c>
      <c r="J294">
        <v>95554</v>
      </c>
      <c r="K294" t="s">
        <v>24</v>
      </c>
      <c r="L294" t="s">
        <v>25</v>
      </c>
      <c r="M294" t="str">
        <f t="shared" si="4"/>
        <v>Jun</v>
      </c>
    </row>
    <row r="295" spans="1:13" x14ac:dyDescent="0.3">
      <c r="A295" t="s">
        <v>347</v>
      </c>
      <c r="B295" t="s">
        <v>60</v>
      </c>
      <c r="C295" t="s">
        <v>22</v>
      </c>
      <c r="D295">
        <v>69</v>
      </c>
      <c r="E295" t="s">
        <v>48</v>
      </c>
      <c r="F295" t="s">
        <v>54</v>
      </c>
      <c r="G295" s="1">
        <v>46146</v>
      </c>
      <c r="H295" s="1">
        <v>46154</v>
      </c>
      <c r="I295" t="s">
        <v>63</v>
      </c>
      <c r="J295">
        <v>19398</v>
      </c>
      <c r="K295" t="s">
        <v>24</v>
      </c>
      <c r="L295" t="s">
        <v>28</v>
      </c>
      <c r="M295" t="str">
        <f t="shared" si="4"/>
        <v>May</v>
      </c>
    </row>
    <row r="296" spans="1:13" x14ac:dyDescent="0.3">
      <c r="A296" t="s">
        <v>348</v>
      </c>
      <c r="B296" t="s">
        <v>79</v>
      </c>
      <c r="C296" t="s">
        <v>14</v>
      </c>
      <c r="D296">
        <v>39</v>
      </c>
      <c r="E296" t="s">
        <v>53</v>
      </c>
      <c r="F296" t="s">
        <v>16</v>
      </c>
      <c r="G296" s="1">
        <v>46044</v>
      </c>
      <c r="H296" s="1">
        <v>46047</v>
      </c>
      <c r="I296" t="s">
        <v>27</v>
      </c>
      <c r="J296">
        <v>68620</v>
      </c>
      <c r="K296" t="s">
        <v>32</v>
      </c>
      <c r="L296" t="s">
        <v>25</v>
      </c>
      <c r="M296" t="str">
        <f t="shared" si="4"/>
        <v>Jan</v>
      </c>
    </row>
    <row r="297" spans="1:13" x14ac:dyDescent="0.3">
      <c r="A297" t="s">
        <v>349</v>
      </c>
      <c r="B297" t="s">
        <v>79</v>
      </c>
      <c r="C297" t="s">
        <v>22</v>
      </c>
      <c r="D297">
        <v>5</v>
      </c>
      <c r="E297" t="s">
        <v>15</v>
      </c>
      <c r="F297" t="s">
        <v>54</v>
      </c>
      <c r="G297" s="1">
        <v>46164</v>
      </c>
      <c r="H297" s="1">
        <v>46168</v>
      </c>
      <c r="I297" t="s">
        <v>40</v>
      </c>
      <c r="J297">
        <v>6976</v>
      </c>
      <c r="K297" t="s">
        <v>24</v>
      </c>
      <c r="L297" t="s">
        <v>19</v>
      </c>
      <c r="M297" t="str">
        <f t="shared" si="4"/>
        <v>May</v>
      </c>
    </row>
    <row r="298" spans="1:13" x14ac:dyDescent="0.3">
      <c r="A298" t="s">
        <v>350</v>
      </c>
      <c r="B298" t="s">
        <v>79</v>
      </c>
      <c r="C298" t="s">
        <v>14</v>
      </c>
      <c r="D298">
        <v>62</v>
      </c>
      <c r="E298" t="s">
        <v>45</v>
      </c>
      <c r="F298" t="s">
        <v>23</v>
      </c>
      <c r="G298" s="1">
        <v>46065</v>
      </c>
      <c r="H298" s="1">
        <v>46068</v>
      </c>
      <c r="I298" t="s">
        <v>17</v>
      </c>
      <c r="J298">
        <v>40008</v>
      </c>
      <c r="K298" t="s">
        <v>18</v>
      </c>
      <c r="L298" t="s">
        <v>25</v>
      </c>
      <c r="M298" t="str">
        <f t="shared" si="4"/>
        <v>Feb</v>
      </c>
    </row>
    <row r="299" spans="1:13" x14ac:dyDescent="0.3">
      <c r="A299" t="s">
        <v>351</v>
      </c>
      <c r="B299" t="s">
        <v>79</v>
      </c>
      <c r="C299" t="s">
        <v>22</v>
      </c>
      <c r="D299">
        <v>22</v>
      </c>
      <c r="E299" t="s">
        <v>45</v>
      </c>
      <c r="F299" t="s">
        <v>16</v>
      </c>
      <c r="G299" s="1">
        <v>46055</v>
      </c>
      <c r="H299" s="1">
        <v>46059</v>
      </c>
      <c r="I299" t="s">
        <v>17</v>
      </c>
      <c r="J299">
        <v>111625</v>
      </c>
      <c r="K299" t="s">
        <v>32</v>
      </c>
      <c r="L299" t="s">
        <v>28</v>
      </c>
      <c r="M299" t="str">
        <f t="shared" si="4"/>
        <v>Feb</v>
      </c>
    </row>
    <row r="300" spans="1:13" x14ac:dyDescent="0.3">
      <c r="A300" t="s">
        <v>352</v>
      </c>
      <c r="B300" t="s">
        <v>97</v>
      </c>
      <c r="C300" t="s">
        <v>22</v>
      </c>
      <c r="D300">
        <v>6</v>
      </c>
      <c r="E300" t="s">
        <v>48</v>
      </c>
      <c r="F300" t="s">
        <v>23</v>
      </c>
      <c r="G300" s="1">
        <v>46135</v>
      </c>
      <c r="H300" s="1">
        <v>46139</v>
      </c>
      <c r="I300" t="s">
        <v>27</v>
      </c>
      <c r="J300">
        <v>106816</v>
      </c>
      <c r="K300" t="s">
        <v>18</v>
      </c>
      <c r="L300" t="s">
        <v>28</v>
      </c>
      <c r="M300" t="str">
        <f t="shared" si="4"/>
        <v>Apr</v>
      </c>
    </row>
    <row r="301" spans="1:13" x14ac:dyDescent="0.3">
      <c r="A301" t="s">
        <v>353</v>
      </c>
      <c r="B301" t="s">
        <v>97</v>
      </c>
      <c r="C301" t="s">
        <v>22</v>
      </c>
      <c r="D301">
        <v>16</v>
      </c>
      <c r="E301" t="s">
        <v>48</v>
      </c>
      <c r="F301" t="s">
        <v>43</v>
      </c>
      <c r="G301" s="1">
        <v>46117</v>
      </c>
      <c r="H301" s="1">
        <v>46124</v>
      </c>
      <c r="I301" t="s">
        <v>40</v>
      </c>
      <c r="J301">
        <v>100975</v>
      </c>
      <c r="K301" t="s">
        <v>37</v>
      </c>
      <c r="L301" t="s">
        <v>25</v>
      </c>
      <c r="M301" t="str">
        <f t="shared" si="4"/>
        <v>Apr</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6DEA-F7C9-4F2B-A125-9CB559DA1185}">
  <dimension ref="A3:N10"/>
  <sheetViews>
    <sheetView topLeftCell="F1" workbookViewId="0">
      <selection activeCell="L29" sqref="L29"/>
    </sheetView>
  </sheetViews>
  <sheetFormatPr defaultRowHeight="14.4" x14ac:dyDescent="0.3"/>
  <cols>
    <col min="1" max="1" width="12.5546875" bestFit="1" customWidth="1"/>
    <col min="2" max="2" width="17.21875" bestFit="1" customWidth="1"/>
    <col min="3" max="3" width="20.44140625" bestFit="1" customWidth="1"/>
    <col min="4" max="4" width="12.5546875" bestFit="1" customWidth="1"/>
    <col min="5" max="5" width="17.21875" bestFit="1" customWidth="1"/>
    <col min="7" max="7" width="12.5546875" bestFit="1" customWidth="1"/>
    <col min="8" max="9" width="20.5546875" bestFit="1" customWidth="1"/>
    <col min="10" max="10" width="12.5546875" bestFit="1" customWidth="1"/>
    <col min="11" max="12" width="22.109375" bestFit="1" customWidth="1"/>
    <col min="13" max="13" width="17.21875" bestFit="1" customWidth="1"/>
    <col min="14" max="24" width="20.5546875" bestFit="1" customWidth="1"/>
    <col min="25" max="25" width="22" bestFit="1" customWidth="1"/>
    <col min="26" max="26" width="25.44140625" bestFit="1" customWidth="1"/>
  </cols>
  <sheetData>
    <row r="3" spans="1:14" x14ac:dyDescent="0.3">
      <c r="A3" s="2" t="s">
        <v>355</v>
      </c>
      <c r="B3" t="s">
        <v>357</v>
      </c>
      <c r="D3" s="2" t="s">
        <v>355</v>
      </c>
      <c r="E3" t="s">
        <v>357</v>
      </c>
      <c r="G3" s="2" t="s">
        <v>355</v>
      </c>
      <c r="H3" t="s">
        <v>358</v>
      </c>
      <c r="J3" s="2" t="s">
        <v>355</v>
      </c>
      <c r="K3" t="s">
        <v>365</v>
      </c>
      <c r="M3" t="s">
        <v>357</v>
      </c>
      <c r="N3" t="s">
        <v>358</v>
      </c>
    </row>
    <row r="4" spans="1:14" x14ac:dyDescent="0.3">
      <c r="A4" s="3" t="s">
        <v>15</v>
      </c>
      <c r="B4" s="4">
        <v>59</v>
      </c>
      <c r="D4" s="3" t="s">
        <v>27</v>
      </c>
      <c r="E4" s="4">
        <v>44</v>
      </c>
      <c r="G4" s="3" t="s">
        <v>15</v>
      </c>
      <c r="H4" s="5">
        <v>3610642</v>
      </c>
      <c r="J4" s="3" t="s">
        <v>363</v>
      </c>
      <c r="K4" s="4">
        <v>44</v>
      </c>
      <c r="M4" s="4">
        <v>300</v>
      </c>
      <c r="N4" s="5">
        <v>19240032</v>
      </c>
    </row>
    <row r="5" spans="1:14" x14ac:dyDescent="0.3">
      <c r="A5" s="3" t="s">
        <v>45</v>
      </c>
      <c r="B5" s="4">
        <v>53</v>
      </c>
      <c r="D5" s="3" t="s">
        <v>36</v>
      </c>
      <c r="E5" s="4">
        <v>53</v>
      </c>
      <c r="G5" s="3" t="s">
        <v>45</v>
      </c>
      <c r="H5" s="5">
        <v>3467393</v>
      </c>
      <c r="J5" s="3" t="s">
        <v>364</v>
      </c>
      <c r="K5" s="4">
        <v>40</v>
      </c>
    </row>
    <row r="6" spans="1:14" x14ac:dyDescent="0.3">
      <c r="A6" s="3" t="s">
        <v>48</v>
      </c>
      <c r="B6" s="4">
        <v>54</v>
      </c>
      <c r="D6" s="3" t="s">
        <v>17</v>
      </c>
      <c r="E6" s="4">
        <v>45</v>
      </c>
      <c r="G6" s="3" t="s">
        <v>48</v>
      </c>
      <c r="H6" s="5">
        <v>3618341</v>
      </c>
      <c r="J6" s="3" t="s">
        <v>360</v>
      </c>
      <c r="K6" s="4">
        <v>57</v>
      </c>
    </row>
    <row r="7" spans="1:14" x14ac:dyDescent="0.3">
      <c r="A7" s="3" t="s">
        <v>53</v>
      </c>
      <c r="B7" s="4">
        <v>52</v>
      </c>
      <c r="D7" s="3" t="s">
        <v>63</v>
      </c>
      <c r="E7" s="4">
        <v>49</v>
      </c>
      <c r="G7" s="3" t="s">
        <v>53</v>
      </c>
      <c r="H7" s="5">
        <v>3355834</v>
      </c>
      <c r="J7" s="3" t="s">
        <v>359</v>
      </c>
      <c r="K7" s="4">
        <v>57</v>
      </c>
    </row>
    <row r="8" spans="1:14" x14ac:dyDescent="0.3">
      <c r="A8" s="3" t="s">
        <v>61</v>
      </c>
      <c r="B8" s="4">
        <v>42</v>
      </c>
      <c r="D8" s="3" t="s">
        <v>40</v>
      </c>
      <c r="E8" s="4">
        <v>62</v>
      </c>
      <c r="G8" s="3" t="s">
        <v>61</v>
      </c>
      <c r="H8" s="5">
        <v>2647089</v>
      </c>
      <c r="J8" s="3" t="s">
        <v>362</v>
      </c>
      <c r="K8" s="4">
        <v>56</v>
      </c>
    </row>
    <row r="9" spans="1:14" x14ac:dyDescent="0.3">
      <c r="A9" s="3" t="s">
        <v>31</v>
      </c>
      <c r="B9" s="4">
        <v>40</v>
      </c>
      <c r="D9" s="3" t="s">
        <v>51</v>
      </c>
      <c r="E9" s="4">
        <v>47</v>
      </c>
      <c r="G9" s="3" t="s">
        <v>31</v>
      </c>
      <c r="H9" s="5">
        <v>2540733</v>
      </c>
      <c r="J9" s="3" t="s">
        <v>361</v>
      </c>
      <c r="K9" s="4">
        <v>46</v>
      </c>
    </row>
    <row r="10" spans="1:14" x14ac:dyDescent="0.3">
      <c r="A10" s="3" t="s">
        <v>356</v>
      </c>
      <c r="B10" s="4">
        <v>300</v>
      </c>
      <c r="D10" s="3" t="s">
        <v>356</v>
      </c>
      <c r="E10" s="4">
        <v>300</v>
      </c>
      <c r="G10" s="3" t="s">
        <v>356</v>
      </c>
      <c r="H10" s="4">
        <v>19240032</v>
      </c>
      <c r="J10" s="3" t="s">
        <v>356</v>
      </c>
      <c r="K10" s="4">
        <v>300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409D-F628-498B-A940-B5E83EF76709}">
  <dimension ref="A1"/>
  <sheetViews>
    <sheetView showGridLines="0" tabSelected="1" workbookViewId="0">
      <selection activeCell="Q11" sqref="Q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Chaurasiya</cp:lastModifiedBy>
  <dcterms:created xsi:type="dcterms:W3CDTF">2026-07-12T09:14:13Z</dcterms:created>
  <dcterms:modified xsi:type="dcterms:W3CDTF">2026-07-12T11:01:20Z</dcterms:modified>
</cp:coreProperties>
</file>