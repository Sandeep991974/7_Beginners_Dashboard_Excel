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hidePivotFieldList="1"/>
  <mc:AlternateContent xmlns:mc="http://schemas.openxmlformats.org/markup-compatibility/2006">
    <mc:Choice Requires="x15">
      <x15ac:absPath xmlns:x15ac="http://schemas.microsoft.com/office/spreadsheetml/2010/11/ac" url="https://d.docs.live.net/E05D1C50AD1D7F52/Documents/"/>
    </mc:Choice>
  </mc:AlternateContent>
  <xr:revisionPtr revIDLastSave="0" documentId="8_{E5459C31-1ADD-48F3-94E1-7406187333FF}" xr6:coauthVersionLast="47" xr6:coauthVersionMax="47" xr10:uidLastSave="{00000000-0000-0000-0000-000000000000}"/>
  <bookViews>
    <workbookView xWindow="-108" yWindow="-108" windowWidth="23256" windowHeight="12456" firstSheet="1" activeTab="1" xr2:uid="{00000000-000D-0000-FFFF-FFFF00000000}"/>
  </bookViews>
  <sheets>
    <sheet name="Pivot" sheetId="2" r:id="rId1"/>
    <sheet name="Dashboard" sheetId="3" r:id="rId2"/>
    <sheet name="SalesData" sheetId="1" r:id="rId3"/>
  </sheets>
  <definedNames>
    <definedName name="Slicer_Category">#N/A</definedName>
    <definedName name="Slicer_Month_Name">#N/A</definedName>
    <definedName name="Slicer_Salesperson">#N/A</definedName>
  </definedNames>
  <calcPr calcId="191028"/>
  <pivotCaches>
    <pivotCache cacheId="77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 i="1"/>
  <c r="I3" i="1"/>
  <c r="I4" i="1"/>
  <c r="I5" i="1"/>
  <c r="I6" i="1"/>
  <c r="I7" i="1"/>
  <c r="I8" i="1"/>
  <c r="I9" i="1"/>
  <c r="I10" i="1"/>
  <c r="I11" i="1"/>
  <c r="I12" i="1"/>
  <c r="I13" i="1"/>
  <c r="I14" i="1"/>
  <c r="I15" i="1"/>
  <c r="I16" i="1"/>
  <c r="I17" i="1"/>
  <c r="I18" i="1"/>
  <c r="I19" i="1"/>
  <c r="I20" i="1"/>
  <c r="I21" i="1"/>
  <c r="I2" i="1"/>
</calcChain>
</file>

<file path=xl/sharedStrings.xml><?xml version="1.0" encoding="utf-8"?>
<sst xmlns="http://schemas.openxmlformats.org/spreadsheetml/2006/main" count="152" uniqueCount="81">
  <si>
    <t>Row Labels</t>
  </si>
  <si>
    <t>Sum of Revenue</t>
  </si>
  <si>
    <t>Sum of Profit</t>
  </si>
  <si>
    <t>East</t>
  </si>
  <si>
    <t>Electronics</t>
  </si>
  <si>
    <t>Jan</t>
  </si>
  <si>
    <t>North</t>
  </si>
  <si>
    <t>Furniture</t>
  </si>
  <si>
    <t>Feb</t>
  </si>
  <si>
    <t>South</t>
  </si>
  <si>
    <t>Office</t>
  </si>
  <si>
    <t>Mar</t>
  </si>
  <si>
    <t>Rahul</t>
  </si>
  <si>
    <t>Sum of Units</t>
  </si>
  <si>
    <t>West</t>
  </si>
  <si>
    <t>Grand Total</t>
  </si>
  <si>
    <t>Apr</t>
  </si>
  <si>
    <t>Amit</t>
  </si>
  <si>
    <t>May</t>
  </si>
  <si>
    <t>Neha</t>
  </si>
  <si>
    <t>Jun</t>
  </si>
  <si>
    <t>Riya</t>
  </si>
  <si>
    <t>Jul</t>
  </si>
  <si>
    <t>Date</t>
  </si>
  <si>
    <t>Region</t>
  </si>
  <si>
    <t>Category</t>
  </si>
  <si>
    <t>Product</t>
  </si>
  <si>
    <t>Salesperson</t>
  </si>
  <si>
    <t>Units</t>
  </si>
  <si>
    <t>Revenue</t>
  </si>
  <si>
    <t>Profit</t>
  </si>
  <si>
    <t>Month Name</t>
  </si>
  <si>
    <t>Year</t>
  </si>
  <si>
    <t>2026-01-05</t>
  </si>
  <si>
    <t>Laptop</t>
  </si>
  <si>
    <t>2026-01-08</t>
  </si>
  <si>
    <t>Chair</t>
  </si>
  <si>
    <t>2026-01-12</t>
  </si>
  <si>
    <t>Printer</t>
  </si>
  <si>
    <t>2026-01-15</t>
  </si>
  <si>
    <t>Mobile</t>
  </si>
  <si>
    <t>2026-02-03</t>
  </si>
  <si>
    <t>Desk</t>
  </si>
  <si>
    <t>2026-02-10</t>
  </si>
  <si>
    <t>Monitor</t>
  </si>
  <si>
    <t>2026-02-18</t>
  </si>
  <si>
    <t>Paper</t>
  </si>
  <si>
    <t>2026-03-01</t>
  </si>
  <si>
    <t>Tablet</t>
  </si>
  <si>
    <t>2026-03-09</t>
  </si>
  <si>
    <t>Scanner</t>
  </si>
  <si>
    <t>2026-03-20</t>
  </si>
  <si>
    <t>Cabinet</t>
  </si>
  <si>
    <t>2026-04-04</t>
  </si>
  <si>
    <t>Keyboard</t>
  </si>
  <si>
    <t>2026-04-14</t>
  </si>
  <si>
    <t>Projector</t>
  </si>
  <si>
    <t>2026-05-02</t>
  </si>
  <si>
    <t>Mouse</t>
  </si>
  <si>
    <t>2026-05-11</t>
  </si>
  <si>
    <t>Ink</t>
  </si>
  <si>
    <t>2026-05-22</t>
  </si>
  <si>
    <t>Table</t>
  </si>
  <si>
    <t>2026-06-06</t>
  </si>
  <si>
    <t>Speaker</t>
  </si>
  <si>
    <t>2026-06-19</t>
  </si>
  <si>
    <t>Shelf</t>
  </si>
  <si>
    <t>2026-06-25</t>
  </si>
  <si>
    <t>Headphones</t>
  </si>
  <si>
    <t>2026-07-03</t>
  </si>
  <si>
    <t>Notebook</t>
  </si>
  <si>
    <t>2026-07-15</t>
  </si>
  <si>
    <t>Sofa</t>
  </si>
  <si>
    <t>✅ Total Revenue</t>
  </si>
  <si>
    <t>✅ Total Profit</t>
  </si>
  <si>
    <t>✅ Total Units Sold</t>
  </si>
  <si>
    <t>✅ Revenue by Region</t>
  </si>
  <si>
    <t>✅ Revenue by Category</t>
  </si>
  <si>
    <t>✅ Monthly Sales Trend</t>
  </si>
  <si>
    <t>✅ Top Performing Salesperson</t>
  </si>
  <si>
    <t>✅ Slicers (Region, Category, Salesperson,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</si>
</sst>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vertical="center" indent="1"/>
    </xf>
    <xf numFmtId="0" fontId="0" fillId="0" borderId="0" xfId="0" applyNumberFormat="1"/>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5">
    <dxf>
      <numFmt numFmtId="164" formatCode="&quot;₹&quot;\ #,##0"/>
    </dxf>
    <dxf>
      <numFmt numFmtId="164" formatCode="&quot;₹&quot;\ #,##0"/>
    </dxf>
    <dxf>
      <numFmt numFmtId="164" formatCode="&quot;₹&quot;\ #,##0"/>
    </dxf>
    <dxf>
      <numFmt numFmtId="164" formatCode="&quot;₹&quot;\ #,##0"/>
    </dxf>
    <dxf>
      <numFmt numFmtId="164" formatCode="&quot;₹&quot;\ #,##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[Annual_Sales_Dashboard_Data.xlsx]Pivot!PivotTable7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Pivot!$B$3</c:f>
              <c:strCache>
                <c:ptCount val="1"/>
                <c:pt idx="0">
                  <c:v>Total</c:v>
                </c:pt>
              </c:strCache>
            </c:strRef>
          </c:tx>
          <c:spPr>
            <a:solidFill>
              <a:schemeClr val="accent1"/>
            </a:solidFill>
            <a:ln>
              <a:noFill/>
            </a:ln>
            <a:effectLst/>
            <a:sp3d/>
          </c:spPr>
          <c:invertIfNegative val="0"/>
          <c:cat>
            <c:strRef>
              <c:f>Pivot!$A$4:$A$8</c:f>
              <c:strCache>
                <c:ptCount val="4"/>
                <c:pt idx="0">
                  <c:v>East</c:v>
                </c:pt>
                <c:pt idx="1">
                  <c:v>North</c:v>
                </c:pt>
                <c:pt idx="2">
                  <c:v>South</c:v>
                </c:pt>
                <c:pt idx="3">
                  <c:v>West</c:v>
                </c:pt>
              </c:strCache>
            </c:strRef>
          </c:cat>
          <c:val>
            <c:numRef>
              <c:f>Pivot!$B$4:$B$8</c:f>
              <c:numCache>
                <c:formatCode>"₹"\ #,##0</c:formatCode>
                <c:ptCount val="4"/>
                <c:pt idx="0">
                  <c:v>394000</c:v>
                </c:pt>
                <c:pt idx="1">
                  <c:v>589000</c:v>
                </c:pt>
                <c:pt idx="2">
                  <c:v>495000</c:v>
                </c:pt>
                <c:pt idx="3">
                  <c:v>990000</c:v>
                </c:pt>
              </c:numCache>
            </c:numRef>
          </c:val>
          <c:extLst>
            <c:ext xmlns:c16="http://schemas.microsoft.com/office/drawing/2014/chart" uri="{C3380CC4-5D6E-409C-BE32-E72D297353CC}">
              <c16:uniqueId val="{00000000-3282-40D8-969A-535CB781A5C1}"/>
            </c:ext>
          </c:extLst>
        </c:ser>
        <c:dLbls>
          <c:showLegendKey val="0"/>
          <c:showVal val="0"/>
          <c:showCatName val="0"/>
          <c:showSerName val="0"/>
          <c:showPercent val="0"/>
          <c:showBubbleSize val="0"/>
        </c:dLbls>
        <c:gapWidth val="150"/>
        <c:shape val="box"/>
        <c:axId val="1456313199"/>
        <c:axId val="1414548943"/>
        <c:axId val="0"/>
      </c:bar3DChart>
      <c:catAx>
        <c:axId val="14563131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548943"/>
        <c:crosses val="autoZero"/>
        <c:auto val="1"/>
        <c:lblAlgn val="ctr"/>
        <c:lblOffset val="100"/>
        <c:noMultiLvlLbl val="0"/>
      </c:catAx>
      <c:valAx>
        <c:axId val="14145489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313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[Annual_Sales_Dashboard_Data.xlsx]Pivot!PivotTable8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17F-4D6E-A7B0-E207BBB039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17F-4D6E-A7B0-E207BBB039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17F-4D6E-A7B0-E207BBB039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Pivot!$E$4:$E$7</c:f>
              <c:strCache>
                <c:ptCount val="3"/>
                <c:pt idx="0">
                  <c:v>Electronics</c:v>
                </c:pt>
                <c:pt idx="1">
                  <c:v>Furniture</c:v>
                </c:pt>
                <c:pt idx="2">
                  <c:v>Office</c:v>
                </c:pt>
              </c:strCache>
            </c:strRef>
          </c:cat>
          <c:val>
            <c:numRef>
              <c:f>Pivot!$F$4:$F$7</c:f>
              <c:numCache>
                <c:formatCode>"₹"\ #,##0</c:formatCode>
                <c:ptCount val="3"/>
                <c:pt idx="0">
                  <c:v>1445000</c:v>
                </c:pt>
                <c:pt idx="1">
                  <c:v>587000</c:v>
                </c:pt>
                <c:pt idx="2">
                  <c:v>436000</c:v>
                </c:pt>
              </c:numCache>
            </c:numRef>
          </c:val>
          <c:extLst>
            <c:ext xmlns:c16="http://schemas.microsoft.com/office/drawing/2014/chart" uri="{C3380CC4-5D6E-409C-BE32-E72D297353CC}">
              <c16:uniqueId val="{00000000-0AD4-4CE0-A0F8-F23EE27DFDB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4105745523068356"/>
          <c:y val="0.10766711978592251"/>
          <c:w val="0.21620750203427369"/>
          <c:h val="0.274839057169971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[Annual_Sales_Dashboard_Data.xlsx]Pivot!PivotTable9</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539235782241758E-2"/>
          <c:y val="7.407407407407407E-2"/>
          <c:w val="0.81974559059830265"/>
          <c:h val="0.8416746864975212"/>
        </c:manualLayout>
      </c:layout>
      <c:barChart>
        <c:barDir val="bar"/>
        <c:grouping val="clustered"/>
        <c:varyColors val="0"/>
        <c:ser>
          <c:idx val="0"/>
          <c:order val="0"/>
          <c:tx>
            <c:strRef>
              <c:f>Pivot!$J$3</c:f>
              <c:strCache>
                <c:ptCount val="1"/>
                <c:pt idx="0">
                  <c:v>Sum of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Pivot!$I$4:$I$11</c:f>
              <c:strCache>
                <c:ptCount val="7"/>
                <c:pt idx="0">
                  <c:v>Jan</c:v>
                </c:pt>
                <c:pt idx="1">
                  <c:v>Feb</c:v>
                </c:pt>
                <c:pt idx="2">
                  <c:v>Mar</c:v>
                </c:pt>
                <c:pt idx="3">
                  <c:v>Apr</c:v>
                </c:pt>
                <c:pt idx="4">
                  <c:v>May</c:v>
                </c:pt>
                <c:pt idx="5">
                  <c:v>Jun</c:v>
                </c:pt>
                <c:pt idx="6">
                  <c:v>Jul</c:v>
                </c:pt>
              </c:strCache>
            </c:strRef>
          </c:cat>
          <c:val>
            <c:numRef>
              <c:f>Pivot!$J$4:$J$11</c:f>
              <c:numCache>
                <c:formatCode>"₹"\ #,##0</c:formatCode>
                <c:ptCount val="7"/>
                <c:pt idx="0">
                  <c:v>856000</c:v>
                </c:pt>
                <c:pt idx="1">
                  <c:v>310000</c:v>
                </c:pt>
                <c:pt idx="2">
                  <c:v>304000</c:v>
                </c:pt>
                <c:pt idx="3">
                  <c:v>200000</c:v>
                </c:pt>
                <c:pt idx="4">
                  <c:v>238000</c:v>
                </c:pt>
                <c:pt idx="5">
                  <c:v>350000</c:v>
                </c:pt>
                <c:pt idx="6">
                  <c:v>210000</c:v>
                </c:pt>
              </c:numCache>
            </c:numRef>
          </c:val>
          <c:extLst>
            <c:ext xmlns:c16="http://schemas.microsoft.com/office/drawing/2014/chart" uri="{C3380CC4-5D6E-409C-BE32-E72D297353CC}">
              <c16:uniqueId val="{00000002-A63E-4A7E-9F92-FE067C3102BB}"/>
            </c:ext>
          </c:extLst>
        </c:ser>
        <c:ser>
          <c:idx val="1"/>
          <c:order val="1"/>
          <c:tx>
            <c:strRef>
              <c:f>Pivot!$K$3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Pivot!$I$4:$I$11</c:f>
              <c:strCache>
                <c:ptCount val="7"/>
                <c:pt idx="0">
                  <c:v>Jan</c:v>
                </c:pt>
                <c:pt idx="1">
                  <c:v>Feb</c:v>
                </c:pt>
                <c:pt idx="2">
                  <c:v>Mar</c:v>
                </c:pt>
                <c:pt idx="3">
                  <c:v>Apr</c:v>
                </c:pt>
                <c:pt idx="4">
                  <c:v>May</c:v>
                </c:pt>
                <c:pt idx="5">
                  <c:v>Jun</c:v>
                </c:pt>
                <c:pt idx="6">
                  <c:v>Jul</c:v>
                </c:pt>
              </c:strCache>
            </c:strRef>
          </c:cat>
          <c:val>
            <c:numRef>
              <c:f>Pivot!$K$4:$K$11</c:f>
              <c:numCache>
                <c:formatCode>"₹"\ #,##0</c:formatCode>
                <c:ptCount val="7"/>
                <c:pt idx="0">
                  <c:v>140000</c:v>
                </c:pt>
                <c:pt idx="1">
                  <c:v>57000</c:v>
                </c:pt>
                <c:pt idx="2">
                  <c:v>56000</c:v>
                </c:pt>
                <c:pt idx="3">
                  <c:v>44000</c:v>
                </c:pt>
                <c:pt idx="4">
                  <c:v>47000</c:v>
                </c:pt>
                <c:pt idx="5">
                  <c:v>65000</c:v>
                </c:pt>
                <c:pt idx="6">
                  <c:v>42000</c:v>
                </c:pt>
              </c:numCache>
            </c:numRef>
          </c:val>
          <c:extLst>
            <c:ext xmlns:c16="http://schemas.microsoft.com/office/drawing/2014/chart" uri="{C3380CC4-5D6E-409C-BE32-E72D297353CC}">
              <c16:uniqueId val="{00000003-A63E-4A7E-9F92-FE067C3102BB}"/>
            </c:ext>
          </c:extLst>
        </c:ser>
        <c:dLbls>
          <c:dLblPos val="outEnd"/>
          <c:showLegendKey val="0"/>
          <c:showVal val="1"/>
          <c:showCatName val="0"/>
          <c:showSerName val="0"/>
          <c:showPercent val="0"/>
          <c:showBubbleSize val="0"/>
        </c:dLbls>
        <c:gapWidth val="182"/>
        <c:axId val="1456335007"/>
        <c:axId val="1414623823"/>
      </c:barChart>
      <c:catAx>
        <c:axId val="1456335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623823"/>
        <c:crosses val="autoZero"/>
        <c:auto val="1"/>
        <c:lblAlgn val="ctr"/>
        <c:lblOffset val="100"/>
        <c:noMultiLvlLbl val="0"/>
      </c:catAx>
      <c:valAx>
        <c:axId val="1414623823"/>
        <c:scaling>
          <c:orientation val="minMax"/>
        </c:scaling>
        <c:delete val="0"/>
        <c:axPos val="b"/>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335007"/>
        <c:crosses val="autoZero"/>
        <c:crossBetween val="between"/>
      </c:valAx>
      <c:spPr>
        <a:noFill/>
        <a:ln>
          <a:noFill/>
        </a:ln>
        <a:effectLst/>
      </c:spPr>
    </c:plotArea>
    <c:legend>
      <c:legendPos val="r"/>
      <c:layout>
        <c:manualLayout>
          <c:xMode val="edge"/>
          <c:yMode val="edge"/>
          <c:x val="0.46034766300531998"/>
          <c:y val="2.8355934674832339E-2"/>
          <c:w val="0.45886239085464403"/>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[Annual_Sales_Dashboard_Data.xlsx]Pivot!PivotTable10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Top</a:t>
            </a:r>
            <a:r>
              <a:rPr lang="en-US" baseline="0"/>
              <a:t> Performaers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Pivot!$P$5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87-4B60-BCEB-2D4A661954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87-4B60-BCEB-2D4A661954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287-4B60-BCEB-2D4A661954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287-4B60-BCEB-2D4A6619544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Pivot!$O$6:$O$10</c:f>
              <c:strCache>
                <c:ptCount val="4"/>
                <c:pt idx="0">
                  <c:v>Rahul</c:v>
                </c:pt>
                <c:pt idx="1">
                  <c:v>Amit</c:v>
                </c:pt>
                <c:pt idx="2">
                  <c:v>Neha</c:v>
                </c:pt>
                <c:pt idx="3">
                  <c:v>Riya</c:v>
                </c:pt>
              </c:strCache>
            </c:strRef>
          </c:cat>
          <c:val>
            <c:numRef>
              <c:f>Pivot!$P$6:$P$10</c:f>
              <c:numCache>
                <c:formatCode>"₹"\ #,##0</c:formatCode>
                <c:ptCount val="4"/>
                <c:pt idx="0">
                  <c:v>990000</c:v>
                </c:pt>
                <c:pt idx="1">
                  <c:v>589000</c:v>
                </c:pt>
                <c:pt idx="2">
                  <c:v>495000</c:v>
                </c:pt>
                <c:pt idx="3">
                  <c:v>394000</c:v>
                </c:pt>
              </c:numCache>
            </c:numRef>
          </c:val>
          <c:extLst>
            <c:ext xmlns:c16="http://schemas.microsoft.com/office/drawing/2014/chart" uri="{C3380CC4-5D6E-409C-BE32-E72D297353CC}">
              <c16:uniqueId val="{00000000-D3E5-431C-994E-87F9852DEBB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[Annual_Sales_Dashboard_Data.xlsx]Pivot!PivotTable7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endParaRPr lang="en-US" baseline="0"/>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3"/>
          </a:solidFill>
          <a:ln w="19050">
            <a:solidFill>
              <a:schemeClr val="lt1"/>
            </a:solidFill>
          </a:ln>
          <a:effectLst/>
        </c:spPr>
      </c:pivotFmt>
    </c:pivotFmts>
    <c:plotArea>
      <c:layout/>
      <c:pieChart>
        <c:varyColors val="1"/>
        <c:ser>
          <c:idx val="0"/>
          <c:order val="0"/>
          <c:tx>
            <c:strRef>
              <c:f>Pivot!$B$3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3147-4CA8-9798-383B86302F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3147-4CA8-9798-383B86302F1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7-3147-4CA8-9798-383B86302F1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Pivot!$A$4:$A$8</c:f>
              <c:strCache>
                <c:ptCount val="4"/>
                <c:pt idx="0">
                  <c:v>East</c:v>
                </c:pt>
                <c:pt idx="1">
                  <c:v>North</c:v>
                </c:pt>
                <c:pt idx="2">
                  <c:v>South</c:v>
                </c:pt>
                <c:pt idx="3">
                  <c:v>West</c:v>
                </c:pt>
              </c:strCache>
            </c:strRef>
          </c:cat>
          <c:val>
            <c:numRef>
              <c:f>Pivot!$B$4:$B$8</c:f>
              <c:numCache>
                <c:formatCode>"₹"\ #,##0</c:formatCode>
                <c:ptCount val="4"/>
                <c:pt idx="0">
                  <c:v>394000</c:v>
                </c:pt>
                <c:pt idx="1">
                  <c:v>589000</c:v>
                </c:pt>
                <c:pt idx="2">
                  <c:v>495000</c:v>
                </c:pt>
                <c:pt idx="3">
                  <c:v>990000</c:v>
                </c:pt>
              </c:numCache>
            </c:numRef>
          </c:val>
          <c:extLst>
            <c:ext xmlns:c16="http://schemas.microsoft.com/office/drawing/2014/chart" uri="{C3380CC4-5D6E-409C-BE32-E72D297353CC}">
              <c16:uniqueId val="{00000008-3147-4CA8-9798-383B86302F1C}"/>
            </c:ext>
          </c:extLst>
        </c:ser>
        <c:dLbls>
          <c:dLblPos val="bestFit"/>
          <c:showLegendKey val="0"/>
          <c:showVal val="1"/>
          <c:showCatName val="0"/>
          <c:showSerName val="0"/>
          <c:showPercent val="0"/>
          <c:showBubbleSize val="0"/>
          <c:showLeaderLines val="1"/>
        </c:dLbls>
        <c:firstSliceAng val="0"/>
      </c:pieChart>
    </c:plotArea>
    <c:legend>
      <c:legendPos val="r"/>
      <c:layout>
        <c:manualLayout>
          <c:xMode val="edge"/>
          <c:yMode val="edge"/>
          <c:x val="0.74105745523068356"/>
          <c:y val="0.10766711978592251"/>
          <c:w val="0.21620750203427369"/>
          <c:h val="0.274839057169971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[Annual_Sales_Dashboard_Data.xlsx]Pivot!PivotTable7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Pivot!$B$3</c:f>
              <c:strCache>
                <c:ptCount val="1"/>
                <c:pt idx="0">
                  <c:v>Total</c:v>
                </c:pt>
              </c:strCache>
            </c:strRef>
          </c:tx>
          <c:spPr>
            <a:solidFill>
              <a:schemeClr val="accent1"/>
            </a:solidFill>
            <a:ln>
              <a:noFill/>
            </a:ln>
            <a:effectLst/>
            <a:sp3d/>
          </c:spPr>
          <c:invertIfNegative val="0"/>
          <c:cat>
            <c:strRef>
              <c:f>Pivot!$A$4:$A$8</c:f>
              <c:strCache>
                <c:ptCount val="4"/>
                <c:pt idx="0">
                  <c:v>East</c:v>
                </c:pt>
                <c:pt idx="1">
                  <c:v>North</c:v>
                </c:pt>
                <c:pt idx="2">
                  <c:v>South</c:v>
                </c:pt>
                <c:pt idx="3">
                  <c:v>West</c:v>
                </c:pt>
              </c:strCache>
            </c:strRef>
          </c:cat>
          <c:val>
            <c:numRef>
              <c:f>Pivot!$B$4:$B$8</c:f>
              <c:numCache>
                <c:formatCode>"₹"\ #,##0</c:formatCode>
                <c:ptCount val="4"/>
                <c:pt idx="0">
                  <c:v>394000</c:v>
                </c:pt>
                <c:pt idx="1">
                  <c:v>589000</c:v>
                </c:pt>
                <c:pt idx="2">
                  <c:v>495000</c:v>
                </c:pt>
                <c:pt idx="3">
                  <c:v>990000</c:v>
                </c:pt>
              </c:numCache>
            </c:numRef>
          </c:val>
          <c:extLst>
            <c:ext xmlns:c16="http://schemas.microsoft.com/office/drawing/2014/chart" uri="{C3380CC4-5D6E-409C-BE32-E72D297353CC}">
              <c16:uniqueId val="{00000000-ECBE-4992-B3F4-E117CF4CECF4}"/>
            </c:ext>
          </c:extLst>
        </c:ser>
        <c:dLbls>
          <c:showLegendKey val="0"/>
          <c:showVal val="0"/>
          <c:showCatName val="0"/>
          <c:showSerName val="0"/>
          <c:showPercent val="0"/>
          <c:showBubbleSize val="0"/>
        </c:dLbls>
        <c:gapWidth val="150"/>
        <c:shape val="box"/>
        <c:axId val="1456313199"/>
        <c:axId val="1414548943"/>
        <c:axId val="0"/>
      </c:bar3DChart>
      <c:catAx>
        <c:axId val="14563131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548943"/>
        <c:crosses val="autoZero"/>
        <c:auto val="1"/>
        <c:lblAlgn val="ctr"/>
        <c:lblOffset val="100"/>
        <c:noMultiLvlLbl val="0"/>
      </c:catAx>
      <c:valAx>
        <c:axId val="14145489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313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[Annual_Sales_Dashboard_Data.xlsx]Pivot!PivotTable9</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585914417789337E-2"/>
          <c:y val="7.407407407407407E-2"/>
          <c:w val="0.81974559059830265"/>
          <c:h val="0.8416746864975212"/>
        </c:manualLayout>
      </c:layout>
      <c:barChart>
        <c:barDir val="bar"/>
        <c:grouping val="clustered"/>
        <c:varyColors val="0"/>
        <c:ser>
          <c:idx val="0"/>
          <c:order val="0"/>
          <c:tx>
            <c:strRef>
              <c:f>Pivot!$J$3</c:f>
              <c:strCache>
                <c:ptCount val="1"/>
                <c:pt idx="0">
                  <c:v>Sum of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Pivot!$I$4:$I$11</c:f>
              <c:strCache>
                <c:ptCount val="7"/>
                <c:pt idx="0">
                  <c:v>Jan</c:v>
                </c:pt>
                <c:pt idx="1">
                  <c:v>Feb</c:v>
                </c:pt>
                <c:pt idx="2">
                  <c:v>Mar</c:v>
                </c:pt>
                <c:pt idx="3">
                  <c:v>Apr</c:v>
                </c:pt>
                <c:pt idx="4">
                  <c:v>May</c:v>
                </c:pt>
                <c:pt idx="5">
                  <c:v>Jun</c:v>
                </c:pt>
                <c:pt idx="6">
                  <c:v>Jul</c:v>
                </c:pt>
              </c:strCache>
            </c:strRef>
          </c:cat>
          <c:val>
            <c:numRef>
              <c:f>Pivot!$J$4:$J$11</c:f>
              <c:numCache>
                <c:formatCode>"₹"\ #,##0</c:formatCode>
                <c:ptCount val="7"/>
                <c:pt idx="0">
                  <c:v>856000</c:v>
                </c:pt>
                <c:pt idx="1">
                  <c:v>310000</c:v>
                </c:pt>
                <c:pt idx="2">
                  <c:v>304000</c:v>
                </c:pt>
                <c:pt idx="3">
                  <c:v>200000</c:v>
                </c:pt>
                <c:pt idx="4">
                  <c:v>238000</c:v>
                </c:pt>
                <c:pt idx="5">
                  <c:v>350000</c:v>
                </c:pt>
                <c:pt idx="6">
                  <c:v>210000</c:v>
                </c:pt>
              </c:numCache>
            </c:numRef>
          </c:val>
          <c:extLst>
            <c:ext xmlns:c16="http://schemas.microsoft.com/office/drawing/2014/chart" uri="{C3380CC4-5D6E-409C-BE32-E72D297353CC}">
              <c16:uniqueId val="{00000000-7347-42D5-8BDC-E50C0312E2B0}"/>
            </c:ext>
          </c:extLst>
        </c:ser>
        <c:ser>
          <c:idx val="1"/>
          <c:order val="1"/>
          <c:tx>
            <c:strRef>
              <c:f>Pivot!$K$3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Pivot!$I$4:$I$11</c:f>
              <c:strCache>
                <c:ptCount val="7"/>
                <c:pt idx="0">
                  <c:v>Jan</c:v>
                </c:pt>
                <c:pt idx="1">
                  <c:v>Feb</c:v>
                </c:pt>
                <c:pt idx="2">
                  <c:v>Mar</c:v>
                </c:pt>
                <c:pt idx="3">
                  <c:v>Apr</c:v>
                </c:pt>
                <c:pt idx="4">
                  <c:v>May</c:v>
                </c:pt>
                <c:pt idx="5">
                  <c:v>Jun</c:v>
                </c:pt>
                <c:pt idx="6">
                  <c:v>Jul</c:v>
                </c:pt>
              </c:strCache>
            </c:strRef>
          </c:cat>
          <c:val>
            <c:numRef>
              <c:f>Pivot!$K$4:$K$11</c:f>
              <c:numCache>
                <c:formatCode>"₹"\ #,##0</c:formatCode>
                <c:ptCount val="7"/>
                <c:pt idx="0">
                  <c:v>140000</c:v>
                </c:pt>
                <c:pt idx="1">
                  <c:v>57000</c:v>
                </c:pt>
                <c:pt idx="2">
                  <c:v>56000</c:v>
                </c:pt>
                <c:pt idx="3">
                  <c:v>44000</c:v>
                </c:pt>
                <c:pt idx="4">
                  <c:v>47000</c:v>
                </c:pt>
                <c:pt idx="5">
                  <c:v>65000</c:v>
                </c:pt>
                <c:pt idx="6">
                  <c:v>42000</c:v>
                </c:pt>
              </c:numCache>
            </c:numRef>
          </c:val>
          <c:extLst>
            <c:ext xmlns:c16="http://schemas.microsoft.com/office/drawing/2014/chart" uri="{C3380CC4-5D6E-409C-BE32-E72D297353CC}">
              <c16:uniqueId val="{00000001-7347-42D5-8BDC-E50C0312E2B0}"/>
            </c:ext>
          </c:extLst>
        </c:ser>
        <c:dLbls>
          <c:dLblPos val="outEnd"/>
          <c:showLegendKey val="0"/>
          <c:showVal val="1"/>
          <c:showCatName val="0"/>
          <c:showSerName val="0"/>
          <c:showPercent val="0"/>
          <c:showBubbleSize val="0"/>
        </c:dLbls>
        <c:gapWidth val="182"/>
        <c:axId val="1456335007"/>
        <c:axId val="1414623823"/>
      </c:barChart>
      <c:catAx>
        <c:axId val="1456335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623823"/>
        <c:crosses val="autoZero"/>
        <c:auto val="1"/>
        <c:lblAlgn val="ctr"/>
        <c:lblOffset val="100"/>
        <c:noMultiLvlLbl val="0"/>
      </c:catAx>
      <c:valAx>
        <c:axId val="1414623823"/>
        <c:scaling>
          <c:orientation val="minMax"/>
        </c:scaling>
        <c:delete val="0"/>
        <c:axPos val="b"/>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335007"/>
        <c:crosses val="autoZero"/>
        <c:crossBetween val="between"/>
      </c:valAx>
      <c:spPr>
        <a:noFill/>
        <a:ln>
          <a:noFill/>
        </a:ln>
        <a:effectLst/>
      </c:spPr>
    </c:plotArea>
    <c:legend>
      <c:legendPos val="r"/>
      <c:layout>
        <c:manualLayout>
          <c:xMode val="edge"/>
          <c:yMode val="edge"/>
          <c:x val="0.46034766300531998"/>
          <c:y val="2.8355934674832339E-2"/>
          <c:w val="0.45886239085464403"/>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[Annual_Sales_Dashboard_Data.xlsx]Pivot!PivotTable10</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Top</a:t>
            </a:r>
            <a:r>
              <a:rPr lang="en-US" baseline="0"/>
              <a:t> Performaers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31405252463798644"/>
          <c:y val="0.20814523184601924"/>
          <c:w val="0.35703630471153958"/>
          <c:h val="0.66745953630796151"/>
        </c:manualLayout>
      </c:layout>
      <c:pieChart>
        <c:varyColors val="1"/>
        <c:ser>
          <c:idx val="0"/>
          <c:order val="0"/>
          <c:tx>
            <c:strRef>
              <c:f>Pivot!$P$5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53-4EDF-8F0E-1DBE8C4050A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53-4EDF-8F0E-1DBE8C4050A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453-4EDF-8F0E-1DBE8C4050A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453-4EDF-8F0E-1DBE8C4050A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Pivot!$O$6:$O$10</c:f>
              <c:strCache>
                <c:ptCount val="4"/>
                <c:pt idx="0">
                  <c:v>Rahul</c:v>
                </c:pt>
                <c:pt idx="1">
                  <c:v>Amit</c:v>
                </c:pt>
                <c:pt idx="2">
                  <c:v>Neha</c:v>
                </c:pt>
                <c:pt idx="3">
                  <c:v>Riya</c:v>
                </c:pt>
              </c:strCache>
            </c:strRef>
          </c:cat>
          <c:val>
            <c:numRef>
              <c:f>Pivot!$P$6:$P$10</c:f>
              <c:numCache>
                <c:formatCode>"₹"\ #,##0</c:formatCode>
                <c:ptCount val="4"/>
                <c:pt idx="0">
                  <c:v>990000</c:v>
                </c:pt>
                <c:pt idx="1">
                  <c:v>589000</c:v>
                </c:pt>
                <c:pt idx="2">
                  <c:v>495000</c:v>
                </c:pt>
                <c:pt idx="3">
                  <c:v>394000</c:v>
                </c:pt>
              </c:numCache>
            </c:numRef>
          </c:val>
          <c:extLst>
            <c:ext xmlns:c16="http://schemas.microsoft.com/office/drawing/2014/chart" uri="{C3380CC4-5D6E-409C-BE32-E72D297353CC}">
              <c16:uniqueId val="{00000008-C453-4EDF-8F0E-1DBE8C4050A2}"/>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30480</xdr:rowOff>
    </xdr:from>
    <xdr:to>
      <xdr:col>3</xdr:col>
      <xdr:colOff>304800</xdr:colOff>
      <xdr:row>24</xdr:row>
      <xdr:rowOff>30480</xdr:rowOff>
    </xdr:to>
    <xdr:graphicFrame macro="">
      <xdr:nvGraphicFramePr>
        <xdr:cNvPr id="2" name="Chart 1">
          <a:extLst>
            <a:ext uri="{FF2B5EF4-FFF2-40B4-BE49-F238E27FC236}">
              <a16:creationId xmlns:a16="http://schemas.microsoft.com/office/drawing/2014/main" id="{B106A664-97F1-DD8D-02BD-B8951F9D0A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266700</xdr:colOff>
      <xdr:row>12</xdr:row>
      <xdr:rowOff>175260</xdr:rowOff>
    </xdr:from>
    <xdr:to>
      <xdr:col>7</xdr:col>
      <xdr:colOff>434340</xdr:colOff>
      <xdr:row>25</xdr:row>
      <xdr:rowOff>137160</xdr:rowOff>
    </xdr:to>
    <xdr:graphicFrame macro="">
      <xdr:nvGraphicFramePr>
        <xdr:cNvPr id="3" name="Chart 2">
          <a:extLst>
            <a:ext uri="{FF2B5EF4-FFF2-40B4-BE49-F238E27FC236}">
              <a16:creationId xmlns:a16="http://schemas.microsoft.com/office/drawing/2014/main" id="{4213F902-2355-665A-CDB1-07B54A6965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510540</xdr:colOff>
      <xdr:row>13</xdr:row>
      <xdr:rowOff>91440</xdr:rowOff>
    </xdr:from>
    <xdr:to>
      <xdr:col>13</xdr:col>
      <xdr:colOff>213360</xdr:colOff>
      <xdr:row>28</xdr:row>
      <xdr:rowOff>91440</xdr:rowOff>
    </xdr:to>
    <xdr:graphicFrame macro="">
      <xdr:nvGraphicFramePr>
        <xdr:cNvPr id="4" name="Chart 3">
          <a:extLst>
            <a:ext uri="{FF2B5EF4-FFF2-40B4-BE49-F238E27FC236}">
              <a16:creationId xmlns:a16="http://schemas.microsoft.com/office/drawing/2014/main" id="{D17DA7C0-697B-3BB8-C25E-F3F879BFF6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190500</xdr:colOff>
      <xdr:row>10</xdr:row>
      <xdr:rowOff>99060</xdr:rowOff>
    </xdr:from>
    <xdr:to>
      <xdr:col>20</xdr:col>
      <xdr:colOff>441960</xdr:colOff>
      <xdr:row>25</xdr:row>
      <xdr:rowOff>99060</xdr:rowOff>
    </xdr:to>
    <xdr:graphicFrame macro="">
      <xdr:nvGraphicFramePr>
        <xdr:cNvPr id="6" name="Chart 5">
          <a:extLst>
            <a:ext uri="{FF2B5EF4-FFF2-40B4-BE49-F238E27FC236}">
              <a16:creationId xmlns:a16="http://schemas.microsoft.com/office/drawing/2014/main" id="{DE86BB27-C2A8-1BA5-2F22-5150D3C38D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236220</xdr:colOff>
      <xdr:row>0</xdr:row>
      <xdr:rowOff>83820</xdr:rowOff>
    </xdr:from>
    <xdr:to>
      <xdr:col>18</xdr:col>
      <xdr:colOff>381000</xdr:colOff>
      <xdr:row>3</xdr:row>
      <xdr:rowOff>114300</xdr:rowOff>
    </xdr:to>
    <xdr:sp macro="" textlink="">
      <xdr:nvSpPr>
        <xdr:cNvPr id="2" name="Rectangle: Rounded Corners 1">
          <a:extLst>
            <a:ext uri="{FF2B5EF4-FFF2-40B4-BE49-F238E27FC236}">
              <a16:creationId xmlns:a16="http://schemas.microsoft.com/office/drawing/2014/main" id="{8297DA3B-57BC-B501-EC2D-E9B363D89D5E}"/>
            </a:ext>
          </a:extLst>
        </xdr:cNvPr>
        <xdr:cNvSpPr/>
      </xdr:nvSpPr>
      <xdr:spPr>
        <a:xfrm>
          <a:off x="236220" y="83820"/>
          <a:ext cx="11117580" cy="579120"/>
        </a:xfrm>
        <a:prstGeom prst="round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487680</xdr:colOff>
      <xdr:row>0</xdr:row>
      <xdr:rowOff>144780</xdr:rowOff>
    </xdr:from>
    <xdr:to>
      <xdr:col>16</xdr:col>
      <xdr:colOff>487680</xdr:colOff>
      <xdr:row>3</xdr:row>
      <xdr:rowOff>99060</xdr:rowOff>
    </xdr:to>
    <xdr:sp macro="" textlink="">
      <xdr:nvSpPr>
        <xdr:cNvPr id="3" name="TextBox 2">
          <a:extLst>
            <a:ext uri="{FF2B5EF4-FFF2-40B4-BE49-F238E27FC236}">
              <a16:creationId xmlns:a16="http://schemas.microsoft.com/office/drawing/2014/main" id="{DC672A69-1005-01FE-03FA-04820BE112B4}"/>
            </a:ext>
          </a:extLst>
        </xdr:cNvPr>
        <xdr:cNvSpPr txBox="1"/>
      </xdr:nvSpPr>
      <xdr:spPr>
        <a:xfrm>
          <a:off x="3535680" y="144780"/>
          <a:ext cx="670560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Annual Sales</a:t>
          </a:r>
          <a:r>
            <a:rPr lang="en-IN" sz="2400" b="1" baseline="0"/>
            <a:t> Dashboard 2026</a:t>
          </a:r>
          <a:endParaRPr lang="en-IN" sz="2400" b="1"/>
        </a:p>
      </xdr:txBody>
    </xdr:sp>
    <xdr:clientData/>
  </xdr:twoCellAnchor>
  <xdr:twoCellAnchor>
    <xdr:from>
      <xdr:col>0</xdr:col>
      <xdr:colOff>259080</xdr:colOff>
      <xdr:row>3</xdr:row>
      <xdr:rowOff>160020</xdr:rowOff>
    </xdr:from>
    <xdr:to>
      <xdr:col>5</xdr:col>
      <xdr:colOff>167640</xdr:colOff>
      <xdr:row>7</xdr:row>
      <xdr:rowOff>38100</xdr:rowOff>
    </xdr:to>
    <xdr:sp macro="" textlink="">
      <xdr:nvSpPr>
        <xdr:cNvPr id="4" name="Rectangle: Rounded Corners 3">
          <a:extLst>
            <a:ext uri="{FF2B5EF4-FFF2-40B4-BE49-F238E27FC236}">
              <a16:creationId xmlns:a16="http://schemas.microsoft.com/office/drawing/2014/main" id="{8A30C374-4AF3-ABD0-27CE-B31CC315C174}"/>
            </a:ext>
          </a:extLst>
        </xdr:cNvPr>
        <xdr:cNvSpPr/>
      </xdr:nvSpPr>
      <xdr:spPr>
        <a:xfrm>
          <a:off x="259080" y="708660"/>
          <a:ext cx="2956560" cy="609600"/>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541020</xdr:colOff>
      <xdr:row>3</xdr:row>
      <xdr:rowOff>175260</xdr:rowOff>
    </xdr:from>
    <xdr:to>
      <xdr:col>10</xdr:col>
      <xdr:colOff>495300</xdr:colOff>
      <xdr:row>7</xdr:row>
      <xdr:rowOff>53340</xdr:rowOff>
    </xdr:to>
    <xdr:sp macro="" textlink="">
      <xdr:nvSpPr>
        <xdr:cNvPr id="5" name="Rectangle: Rounded Corners 4">
          <a:extLst>
            <a:ext uri="{FF2B5EF4-FFF2-40B4-BE49-F238E27FC236}">
              <a16:creationId xmlns:a16="http://schemas.microsoft.com/office/drawing/2014/main" id="{AF92620B-5E70-7306-0EE7-25A6E9C560B2}"/>
            </a:ext>
          </a:extLst>
        </xdr:cNvPr>
        <xdr:cNvSpPr/>
      </xdr:nvSpPr>
      <xdr:spPr>
        <a:xfrm>
          <a:off x="3589020" y="723900"/>
          <a:ext cx="3002280" cy="609600"/>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228600</xdr:colOff>
      <xdr:row>3</xdr:row>
      <xdr:rowOff>167640</xdr:rowOff>
    </xdr:from>
    <xdr:to>
      <xdr:col>16</xdr:col>
      <xdr:colOff>91440</xdr:colOff>
      <xdr:row>7</xdr:row>
      <xdr:rowOff>45720</xdr:rowOff>
    </xdr:to>
    <xdr:sp macro="" textlink="">
      <xdr:nvSpPr>
        <xdr:cNvPr id="6" name="Rectangle: Rounded Corners 5">
          <a:extLst>
            <a:ext uri="{FF2B5EF4-FFF2-40B4-BE49-F238E27FC236}">
              <a16:creationId xmlns:a16="http://schemas.microsoft.com/office/drawing/2014/main" id="{2C1F30B6-E5F0-0F2B-D562-854A973AA93B}"/>
            </a:ext>
          </a:extLst>
        </xdr:cNvPr>
        <xdr:cNvSpPr/>
      </xdr:nvSpPr>
      <xdr:spPr>
        <a:xfrm>
          <a:off x="6934200" y="716280"/>
          <a:ext cx="2910840" cy="609600"/>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594360</xdr:colOff>
      <xdr:row>4</xdr:row>
      <xdr:rowOff>152400</xdr:rowOff>
    </xdr:from>
    <xdr:to>
      <xdr:col>4</xdr:col>
      <xdr:colOff>594360</xdr:colOff>
      <xdr:row>6</xdr:row>
      <xdr:rowOff>7620</xdr:rowOff>
    </xdr:to>
    <xdr:sp macro="" textlink="">
      <xdr:nvSpPr>
        <xdr:cNvPr id="7" name="TextBox 6">
          <a:extLst>
            <a:ext uri="{FF2B5EF4-FFF2-40B4-BE49-F238E27FC236}">
              <a16:creationId xmlns:a16="http://schemas.microsoft.com/office/drawing/2014/main" id="{E4F450EC-81F8-5C10-EABF-373E5EEF7B05}"/>
            </a:ext>
          </a:extLst>
        </xdr:cNvPr>
        <xdr:cNvSpPr txBox="1"/>
      </xdr:nvSpPr>
      <xdr:spPr>
        <a:xfrm>
          <a:off x="594360" y="883920"/>
          <a:ext cx="24384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xdr:col>
      <xdr:colOff>38100</xdr:colOff>
      <xdr:row>4</xdr:row>
      <xdr:rowOff>114300</xdr:rowOff>
    </xdr:from>
    <xdr:to>
      <xdr:col>5</xdr:col>
      <xdr:colOff>38100</xdr:colOff>
      <xdr:row>5</xdr:row>
      <xdr:rowOff>152400</xdr:rowOff>
    </xdr:to>
    <xdr:sp macro="" textlink="">
      <xdr:nvSpPr>
        <xdr:cNvPr id="11" name="TextBox 10">
          <a:extLst>
            <a:ext uri="{FF2B5EF4-FFF2-40B4-BE49-F238E27FC236}">
              <a16:creationId xmlns:a16="http://schemas.microsoft.com/office/drawing/2014/main" id="{5C3E0739-8854-D321-7632-1CF2D38BDE59}"/>
            </a:ext>
          </a:extLst>
        </xdr:cNvPr>
        <xdr:cNvSpPr txBox="1"/>
      </xdr:nvSpPr>
      <xdr:spPr>
        <a:xfrm>
          <a:off x="647700" y="845820"/>
          <a:ext cx="24384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b="1"/>
        </a:p>
      </xdr:txBody>
    </xdr:sp>
    <xdr:clientData/>
  </xdr:twoCellAnchor>
  <xdr:twoCellAnchor>
    <xdr:from>
      <xdr:col>1</xdr:col>
      <xdr:colOff>441960</xdr:colOff>
      <xdr:row>4</xdr:row>
      <xdr:rowOff>45720</xdr:rowOff>
    </xdr:from>
    <xdr:to>
      <xdr:col>3</xdr:col>
      <xdr:colOff>510540</xdr:colOff>
      <xdr:row>5</xdr:row>
      <xdr:rowOff>144780</xdr:rowOff>
    </xdr:to>
    <xdr:sp macro="" textlink="">
      <xdr:nvSpPr>
        <xdr:cNvPr id="12" name="TextBox 11">
          <a:extLst>
            <a:ext uri="{FF2B5EF4-FFF2-40B4-BE49-F238E27FC236}">
              <a16:creationId xmlns:a16="http://schemas.microsoft.com/office/drawing/2014/main" id="{1FB029AB-046C-3432-61E4-0498521BDAB5}"/>
            </a:ext>
          </a:extLst>
        </xdr:cNvPr>
        <xdr:cNvSpPr txBox="1"/>
      </xdr:nvSpPr>
      <xdr:spPr>
        <a:xfrm>
          <a:off x="1051560" y="777240"/>
          <a:ext cx="12877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 Profits</a:t>
          </a:r>
        </a:p>
      </xdr:txBody>
    </xdr:sp>
    <xdr:clientData/>
  </xdr:twoCellAnchor>
  <xdr:twoCellAnchor>
    <xdr:from>
      <xdr:col>7</xdr:col>
      <xdr:colOff>182880</xdr:colOff>
      <xdr:row>4</xdr:row>
      <xdr:rowOff>53340</xdr:rowOff>
    </xdr:from>
    <xdr:to>
      <xdr:col>9</xdr:col>
      <xdr:colOff>251460</xdr:colOff>
      <xdr:row>5</xdr:row>
      <xdr:rowOff>152400</xdr:rowOff>
    </xdr:to>
    <xdr:sp macro="" textlink="">
      <xdr:nvSpPr>
        <xdr:cNvPr id="13" name="TextBox 12">
          <a:extLst>
            <a:ext uri="{FF2B5EF4-FFF2-40B4-BE49-F238E27FC236}">
              <a16:creationId xmlns:a16="http://schemas.microsoft.com/office/drawing/2014/main" id="{DF51396A-2992-D053-4CA0-9FC09C027A01}"/>
            </a:ext>
          </a:extLst>
        </xdr:cNvPr>
        <xdr:cNvSpPr txBox="1"/>
      </xdr:nvSpPr>
      <xdr:spPr>
        <a:xfrm>
          <a:off x="4450080" y="784860"/>
          <a:ext cx="12877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 Revenue</a:t>
          </a:r>
        </a:p>
      </xdr:txBody>
    </xdr:sp>
    <xdr:clientData/>
  </xdr:twoCellAnchor>
  <xdr:twoCellAnchor>
    <xdr:from>
      <xdr:col>12</xdr:col>
      <xdr:colOff>601980</xdr:colOff>
      <xdr:row>4</xdr:row>
      <xdr:rowOff>7620</xdr:rowOff>
    </xdr:from>
    <xdr:to>
      <xdr:col>15</xdr:col>
      <xdr:colOff>60960</xdr:colOff>
      <xdr:row>5</xdr:row>
      <xdr:rowOff>106680</xdr:rowOff>
    </xdr:to>
    <xdr:sp macro="" textlink="">
      <xdr:nvSpPr>
        <xdr:cNvPr id="14" name="TextBox 13">
          <a:extLst>
            <a:ext uri="{FF2B5EF4-FFF2-40B4-BE49-F238E27FC236}">
              <a16:creationId xmlns:a16="http://schemas.microsoft.com/office/drawing/2014/main" id="{5D83E74F-4CB2-91E4-8982-7494B7769B98}"/>
            </a:ext>
          </a:extLst>
        </xdr:cNvPr>
        <xdr:cNvSpPr txBox="1"/>
      </xdr:nvSpPr>
      <xdr:spPr>
        <a:xfrm>
          <a:off x="7917180" y="739140"/>
          <a:ext cx="12877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 Unit</a:t>
          </a:r>
        </a:p>
      </xdr:txBody>
    </xdr:sp>
    <xdr:clientData/>
  </xdr:twoCellAnchor>
  <xdr:twoCellAnchor>
    <xdr:from>
      <xdr:col>1</xdr:col>
      <xdr:colOff>388620</xdr:colOff>
      <xdr:row>5</xdr:row>
      <xdr:rowOff>121920</xdr:rowOff>
    </xdr:from>
    <xdr:to>
      <xdr:col>3</xdr:col>
      <xdr:colOff>457200</xdr:colOff>
      <xdr:row>7</xdr:row>
      <xdr:rowOff>38100</xdr:rowOff>
    </xdr:to>
    <xdr:sp macro="" textlink="Pivot!V7">
      <xdr:nvSpPr>
        <xdr:cNvPr id="15" name="TextBox 14">
          <a:extLst>
            <a:ext uri="{FF2B5EF4-FFF2-40B4-BE49-F238E27FC236}">
              <a16:creationId xmlns:a16="http://schemas.microsoft.com/office/drawing/2014/main" id="{AE909D16-C7AE-E0A7-51E6-F5C82A2BD947}"/>
            </a:ext>
          </a:extLst>
        </xdr:cNvPr>
        <xdr:cNvSpPr txBox="1"/>
      </xdr:nvSpPr>
      <xdr:spPr>
        <a:xfrm>
          <a:off x="998220" y="1036320"/>
          <a:ext cx="12877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0007B19-5B80-486C-9351-B0939904D1CF}" type="TxLink">
            <a:rPr lang="en-US" sz="1100" b="1" i="0" u="none" strike="noStrike">
              <a:solidFill>
                <a:srgbClr val="C00000"/>
              </a:solidFill>
              <a:latin typeface="Calibri"/>
              <a:ea typeface="Calibri"/>
              <a:cs typeface="Calibri"/>
            </a:rPr>
            <a:pPr/>
            <a:t>₹ 451,000</a:t>
          </a:fld>
          <a:endParaRPr lang="en-IN" sz="1400" b="1">
            <a:solidFill>
              <a:srgbClr val="C00000"/>
            </a:solidFill>
          </a:endParaRPr>
        </a:p>
      </xdr:txBody>
    </xdr:sp>
    <xdr:clientData/>
  </xdr:twoCellAnchor>
  <xdr:twoCellAnchor>
    <xdr:from>
      <xdr:col>7</xdr:col>
      <xdr:colOff>236220</xdr:colOff>
      <xdr:row>5</xdr:row>
      <xdr:rowOff>114300</xdr:rowOff>
    </xdr:from>
    <xdr:to>
      <xdr:col>9</xdr:col>
      <xdr:colOff>45720</xdr:colOff>
      <xdr:row>7</xdr:row>
      <xdr:rowOff>30480</xdr:rowOff>
    </xdr:to>
    <xdr:sp macro="" textlink="Pivot!U7">
      <xdr:nvSpPr>
        <xdr:cNvPr id="16" name="TextBox 15">
          <a:extLst>
            <a:ext uri="{FF2B5EF4-FFF2-40B4-BE49-F238E27FC236}">
              <a16:creationId xmlns:a16="http://schemas.microsoft.com/office/drawing/2014/main" id="{32D5C96C-BB2C-541A-B272-B7AB5D59C36E}"/>
            </a:ext>
          </a:extLst>
        </xdr:cNvPr>
        <xdr:cNvSpPr txBox="1"/>
      </xdr:nvSpPr>
      <xdr:spPr>
        <a:xfrm>
          <a:off x="4503420" y="1028700"/>
          <a:ext cx="10287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9E0CE36-352C-4C2C-9E57-C10EE3BAFAC9}" type="TxLink">
            <a:rPr lang="en-US" sz="1100" b="1" i="0" u="none" strike="noStrike">
              <a:solidFill>
                <a:srgbClr val="C00000"/>
              </a:solidFill>
              <a:latin typeface="Calibri"/>
              <a:ea typeface="Calibri"/>
              <a:cs typeface="Calibri"/>
            </a:rPr>
            <a:pPr/>
            <a:t>₹ 2,468,000</a:t>
          </a:fld>
          <a:endParaRPr lang="en-IN" sz="1400" b="1">
            <a:solidFill>
              <a:srgbClr val="C00000"/>
            </a:solidFill>
          </a:endParaRPr>
        </a:p>
      </xdr:txBody>
    </xdr:sp>
    <xdr:clientData/>
  </xdr:twoCellAnchor>
  <xdr:twoCellAnchor>
    <xdr:from>
      <xdr:col>13</xdr:col>
      <xdr:colOff>190500</xdr:colOff>
      <xdr:row>5</xdr:row>
      <xdr:rowOff>91440</xdr:rowOff>
    </xdr:from>
    <xdr:to>
      <xdr:col>14</xdr:col>
      <xdr:colOff>129540</xdr:colOff>
      <xdr:row>7</xdr:row>
      <xdr:rowOff>7620</xdr:rowOff>
    </xdr:to>
    <xdr:sp macro="" textlink="Pivot!W7">
      <xdr:nvSpPr>
        <xdr:cNvPr id="17" name="TextBox 16">
          <a:extLst>
            <a:ext uri="{FF2B5EF4-FFF2-40B4-BE49-F238E27FC236}">
              <a16:creationId xmlns:a16="http://schemas.microsoft.com/office/drawing/2014/main" id="{AEECAC68-AC90-7C0F-2A1A-55E70835BCFE}"/>
            </a:ext>
          </a:extLst>
        </xdr:cNvPr>
        <xdr:cNvSpPr txBox="1"/>
      </xdr:nvSpPr>
      <xdr:spPr>
        <a:xfrm>
          <a:off x="8115300" y="1005840"/>
          <a:ext cx="54864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7469306-31A4-4CBD-BB1F-567BB3512A3D}" type="TxLink">
            <a:rPr lang="en-US" sz="1100" b="1" i="0" u="none" strike="noStrike">
              <a:solidFill>
                <a:srgbClr val="C00000"/>
              </a:solidFill>
              <a:latin typeface="Calibri"/>
              <a:ea typeface="Calibri"/>
              <a:cs typeface="Calibri"/>
            </a:rPr>
            <a:pPr/>
            <a:t>₹ 633</a:t>
          </a:fld>
          <a:endParaRPr lang="en-IN" sz="1400" b="1">
            <a:solidFill>
              <a:srgbClr val="C00000"/>
            </a:solidFill>
          </a:endParaRPr>
        </a:p>
      </xdr:txBody>
    </xdr:sp>
    <xdr:clientData/>
  </xdr:twoCellAnchor>
  <xdr:twoCellAnchor>
    <xdr:from>
      <xdr:col>9</xdr:col>
      <xdr:colOff>76200</xdr:colOff>
      <xdr:row>7</xdr:row>
      <xdr:rowOff>106680</xdr:rowOff>
    </xdr:from>
    <xdr:to>
      <xdr:col>16</xdr:col>
      <xdr:colOff>22860</xdr:colOff>
      <xdr:row>20</xdr:row>
      <xdr:rowOff>22860</xdr:rowOff>
    </xdr:to>
    <xdr:graphicFrame macro="">
      <xdr:nvGraphicFramePr>
        <xdr:cNvPr id="18" name="Chart 17">
          <a:extLst>
            <a:ext uri="{FF2B5EF4-FFF2-40B4-BE49-F238E27FC236}">
              <a16:creationId xmlns:a16="http://schemas.microsoft.com/office/drawing/2014/main" id="{E56F9943-95EE-4A0E-BEA5-7975654D41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274320</xdr:colOff>
      <xdr:row>7</xdr:row>
      <xdr:rowOff>91440</xdr:rowOff>
    </xdr:from>
    <xdr:to>
      <xdr:col>8</xdr:col>
      <xdr:colOff>533400</xdr:colOff>
      <xdr:row>21</xdr:row>
      <xdr:rowOff>91440</xdr:rowOff>
    </xdr:to>
    <xdr:graphicFrame macro="">
      <xdr:nvGraphicFramePr>
        <xdr:cNvPr id="19" name="Chart 18">
          <a:extLst>
            <a:ext uri="{FF2B5EF4-FFF2-40B4-BE49-F238E27FC236}">
              <a16:creationId xmlns:a16="http://schemas.microsoft.com/office/drawing/2014/main" id="{BAF94A07-DAA5-4234-9166-2C6C2E7F4D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76200</xdr:colOff>
      <xdr:row>20</xdr:row>
      <xdr:rowOff>22860</xdr:rowOff>
    </xdr:from>
    <xdr:to>
      <xdr:col>16</xdr:col>
      <xdr:colOff>53340</xdr:colOff>
      <xdr:row>35</xdr:row>
      <xdr:rowOff>22860</xdr:rowOff>
    </xdr:to>
    <xdr:graphicFrame macro="">
      <xdr:nvGraphicFramePr>
        <xdr:cNvPr id="21" name="Chart 20">
          <a:extLst>
            <a:ext uri="{FF2B5EF4-FFF2-40B4-BE49-F238E27FC236}">
              <a16:creationId xmlns:a16="http://schemas.microsoft.com/office/drawing/2014/main" id="{E2CA765C-95A8-4821-A856-BFDD493D46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312420</xdr:colOff>
      <xdr:row>21</xdr:row>
      <xdr:rowOff>137160</xdr:rowOff>
    </xdr:from>
    <xdr:to>
      <xdr:col>8</xdr:col>
      <xdr:colOff>563880</xdr:colOff>
      <xdr:row>35</xdr:row>
      <xdr:rowOff>83820</xdr:rowOff>
    </xdr:to>
    <xdr:graphicFrame macro="">
      <xdr:nvGraphicFramePr>
        <xdr:cNvPr id="22" name="Chart 21">
          <a:extLst>
            <a:ext uri="{FF2B5EF4-FFF2-40B4-BE49-F238E27FC236}">
              <a16:creationId xmlns:a16="http://schemas.microsoft.com/office/drawing/2014/main" id="{9C91832B-6287-4E7C-8553-8C8D7D0483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129540</xdr:colOff>
      <xdr:row>26</xdr:row>
      <xdr:rowOff>83821</xdr:rowOff>
    </xdr:from>
    <xdr:to>
      <xdr:col>18</xdr:col>
      <xdr:colOff>441960</xdr:colOff>
      <xdr:row>35</xdr:row>
      <xdr:rowOff>22861</xdr:rowOff>
    </xdr:to>
    <mc:AlternateContent xmlns:mc="http://schemas.openxmlformats.org/markup-compatibility/2006" xmlns:a14="http://schemas.microsoft.com/office/drawing/2010/main">
      <mc:Choice Requires="a14">
        <xdr:graphicFrame macro="">
          <xdr:nvGraphicFramePr>
            <xdr:cNvPr id="23" name="Category">
              <a:extLst>
                <a:ext uri="{FF2B5EF4-FFF2-40B4-BE49-F238E27FC236}">
                  <a16:creationId xmlns:a16="http://schemas.microsoft.com/office/drawing/2014/main" id="{979D31B0-64D7-0CFD-1A89-35A7F627A89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883140" y="4838701"/>
              <a:ext cx="1531620" cy="1584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137160</xdr:colOff>
      <xdr:row>4</xdr:row>
      <xdr:rowOff>38101</xdr:rowOff>
    </xdr:from>
    <xdr:to>
      <xdr:col>18</xdr:col>
      <xdr:colOff>358140</xdr:colOff>
      <xdr:row>12</xdr:row>
      <xdr:rowOff>83820</xdr:rowOff>
    </xdr:to>
    <mc:AlternateContent xmlns:mc="http://schemas.openxmlformats.org/markup-compatibility/2006" xmlns:a14="http://schemas.microsoft.com/office/drawing/2010/main">
      <mc:Choice Requires="a14">
        <xdr:graphicFrame macro="">
          <xdr:nvGraphicFramePr>
            <xdr:cNvPr id="24" name="Salesperson">
              <a:extLst>
                <a:ext uri="{FF2B5EF4-FFF2-40B4-BE49-F238E27FC236}">
                  <a16:creationId xmlns:a16="http://schemas.microsoft.com/office/drawing/2014/main" id="{63AEB317-424C-EDA8-A7F3-1431F70BCBD1}"/>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9890760" y="769621"/>
              <a:ext cx="1440180" cy="1508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129540</xdr:colOff>
      <xdr:row>12</xdr:row>
      <xdr:rowOff>175261</xdr:rowOff>
    </xdr:from>
    <xdr:to>
      <xdr:col>18</xdr:col>
      <xdr:colOff>419100</xdr:colOff>
      <xdr:row>25</xdr:row>
      <xdr:rowOff>129541</xdr:rowOff>
    </xdr:to>
    <mc:AlternateContent xmlns:mc="http://schemas.openxmlformats.org/markup-compatibility/2006" xmlns:a14="http://schemas.microsoft.com/office/drawing/2010/main">
      <mc:Choice Requires="a14">
        <xdr:graphicFrame macro="">
          <xdr:nvGraphicFramePr>
            <xdr:cNvPr id="25" name="Month Name">
              <a:extLst>
                <a:ext uri="{FF2B5EF4-FFF2-40B4-BE49-F238E27FC236}">
                  <a16:creationId xmlns:a16="http://schemas.microsoft.com/office/drawing/2014/main" id="{67AB5C8D-B73D-6C7F-E296-055715A9CA0F}"/>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9883140" y="2369821"/>
              <a:ext cx="1508760" cy="2331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15.532724189812" createdVersion="8" refreshedVersion="8" minRefreshableVersion="3" recordCount="20" xr:uid="{3DA1E990-5C96-48A9-8D0F-E45633BDED7F}">
  <cacheSource type="worksheet">
    <worksheetSource name="Table1"/>
  </cacheSource>
  <cacheFields count="10">
    <cacheField name="Date" numFmtId="0">
      <sharedItems/>
    </cacheField>
    <cacheField name="Region" numFmtId="0">
      <sharedItems count="4">
        <s v="North"/>
        <s v="South"/>
        <s v="East"/>
        <s v="West"/>
      </sharedItems>
    </cacheField>
    <cacheField name="Category" numFmtId="0">
      <sharedItems count="3">
        <s v="Electronics"/>
        <s v="Furniture"/>
        <s v="Office"/>
      </sharedItems>
    </cacheField>
    <cacheField name="Product" numFmtId="0">
      <sharedItems/>
    </cacheField>
    <cacheField name="Salesperson" numFmtId="0">
      <sharedItems count="4">
        <s v="Amit"/>
        <s v="Neha"/>
        <s v="Riya"/>
        <s v="Rahul"/>
      </sharedItems>
    </cacheField>
    <cacheField name="Units" numFmtId="0">
      <sharedItems containsSemiMixedTypes="0" containsString="0" containsNumber="1" containsInteger="1" minValue="3" maxValue="200"/>
    </cacheField>
    <cacheField name="Revenue" numFmtId="0">
      <sharedItems containsSemiMixedTypes="0" containsString="0" containsNumber="1" containsInteger="1" minValue="40000" maxValue="450000"/>
    </cacheField>
    <cacheField name="Profit" numFmtId="0">
      <sharedItems containsSemiMixedTypes="0" containsString="0" containsNumber="1" containsInteger="1" minValue="8000" maxValue="70000"/>
    </cacheField>
    <cacheField name="Month Name" numFmtId="0">
      <sharedItems count="7">
        <s v="Jan"/>
        <s v="Feb"/>
        <s v="Mar"/>
        <s v="Apr"/>
        <s v="May"/>
        <s v="Jun"/>
        <s v="Jul"/>
      </sharedItems>
    </cacheField>
    <cacheField name="Year" numFmtId="0">
      <sharedItems/>
    </cacheField>
  </cacheFields>
  <extLst>
    <ext xmlns:x14="http://schemas.microsoft.com/office/spreadsheetml/2009/9/main" uri="{725AE2AE-9491-48be-B2B4-4EB974FC3084}">
      <x14:pivotCacheDefinition pivotCacheId="11211101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2026-01-05"/>
    <x v="0"/>
    <x v="0"/>
    <s v="Laptop"/>
    <x v="0"/>
    <n v="5"/>
    <n v="250000"/>
    <n v="40000"/>
    <x v="0"/>
    <s v="2026"/>
  </r>
  <r>
    <s v="2026-01-08"/>
    <x v="1"/>
    <x v="1"/>
    <s v="Chair"/>
    <x v="1"/>
    <n v="20"/>
    <n v="60000"/>
    <n v="12000"/>
    <x v="0"/>
    <s v="2026"/>
  </r>
  <r>
    <s v="2026-01-12"/>
    <x v="2"/>
    <x v="2"/>
    <s v="Printer"/>
    <x v="2"/>
    <n v="8"/>
    <n v="96000"/>
    <n v="18000"/>
    <x v="0"/>
    <s v="2026"/>
  </r>
  <r>
    <s v="2026-01-15"/>
    <x v="3"/>
    <x v="0"/>
    <s v="Mobile"/>
    <x v="3"/>
    <n v="30"/>
    <n v="450000"/>
    <n v="70000"/>
    <x v="0"/>
    <s v="2026"/>
  </r>
  <r>
    <s v="2026-02-03"/>
    <x v="0"/>
    <x v="1"/>
    <s v="Desk"/>
    <x v="0"/>
    <n v="10"/>
    <n v="80000"/>
    <n v="15000"/>
    <x v="1"/>
    <s v="2026"/>
  </r>
  <r>
    <s v="2026-02-10"/>
    <x v="1"/>
    <x v="0"/>
    <s v="Monitor"/>
    <x v="1"/>
    <n v="15"/>
    <n v="180000"/>
    <n v="32000"/>
    <x v="1"/>
    <s v="2026"/>
  </r>
  <r>
    <s v="2026-02-18"/>
    <x v="2"/>
    <x v="2"/>
    <s v="Paper"/>
    <x v="2"/>
    <n v="100"/>
    <n v="50000"/>
    <n v="10000"/>
    <x v="1"/>
    <s v="2026"/>
  </r>
  <r>
    <s v="2026-03-01"/>
    <x v="3"/>
    <x v="0"/>
    <s v="Tablet"/>
    <x v="3"/>
    <n v="12"/>
    <n v="144000"/>
    <n v="25000"/>
    <x v="2"/>
    <s v="2026"/>
  </r>
  <r>
    <s v="2026-03-09"/>
    <x v="0"/>
    <x v="2"/>
    <s v="Scanner"/>
    <x v="0"/>
    <n v="7"/>
    <n v="70000"/>
    <n v="14000"/>
    <x v="2"/>
    <s v="2026"/>
  </r>
  <r>
    <s v="2026-03-20"/>
    <x v="1"/>
    <x v="1"/>
    <s v="Cabinet"/>
    <x v="1"/>
    <n v="6"/>
    <n v="90000"/>
    <n v="17000"/>
    <x v="2"/>
    <s v="2026"/>
  </r>
  <r>
    <s v="2026-04-04"/>
    <x v="2"/>
    <x v="0"/>
    <s v="Keyboard"/>
    <x v="2"/>
    <n v="40"/>
    <n v="80000"/>
    <n v="16000"/>
    <x v="3"/>
    <s v="2026"/>
  </r>
  <r>
    <s v="2026-04-14"/>
    <x v="3"/>
    <x v="2"/>
    <s v="Projector"/>
    <x v="3"/>
    <n v="4"/>
    <n v="120000"/>
    <n v="28000"/>
    <x v="3"/>
    <s v="2026"/>
  </r>
  <r>
    <s v="2026-05-02"/>
    <x v="0"/>
    <x v="0"/>
    <s v="Mouse"/>
    <x v="0"/>
    <n v="60"/>
    <n v="90000"/>
    <n v="18000"/>
    <x v="4"/>
    <s v="2026"/>
  </r>
  <r>
    <s v="2026-05-11"/>
    <x v="1"/>
    <x v="2"/>
    <s v="Ink"/>
    <x v="1"/>
    <n v="50"/>
    <n v="40000"/>
    <n v="8000"/>
    <x v="4"/>
    <s v="2026"/>
  </r>
  <r>
    <s v="2026-05-22"/>
    <x v="2"/>
    <x v="1"/>
    <s v="Table"/>
    <x v="2"/>
    <n v="9"/>
    <n v="108000"/>
    <n v="21000"/>
    <x v="4"/>
    <s v="2026"/>
  </r>
  <r>
    <s v="2026-06-06"/>
    <x v="3"/>
    <x v="0"/>
    <s v="Speaker"/>
    <x v="3"/>
    <n v="18"/>
    <n v="126000"/>
    <n v="24000"/>
    <x v="5"/>
    <s v="2026"/>
  </r>
  <r>
    <s v="2026-06-19"/>
    <x v="0"/>
    <x v="1"/>
    <s v="Shelf"/>
    <x v="0"/>
    <n v="11"/>
    <n v="99000"/>
    <n v="19000"/>
    <x v="5"/>
    <s v="2026"/>
  </r>
  <r>
    <s v="2026-06-25"/>
    <x v="1"/>
    <x v="0"/>
    <s v="Headphones"/>
    <x v="1"/>
    <n v="25"/>
    <n v="125000"/>
    <n v="22000"/>
    <x v="5"/>
    <s v="2026"/>
  </r>
  <r>
    <s v="2026-07-03"/>
    <x v="2"/>
    <x v="2"/>
    <s v="Notebook"/>
    <x v="2"/>
    <n v="200"/>
    <n v="60000"/>
    <n v="12000"/>
    <x v="6"/>
    <s v="2026"/>
  </r>
  <r>
    <s v="2026-07-15"/>
    <x v="3"/>
    <x v="1"/>
    <s v="Sofa"/>
    <x v="3"/>
    <n v="3"/>
    <n v="150000"/>
    <n v="30000"/>
    <x v="6"/>
    <s v="20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C60DE9-5EEB-4498-ADF7-8E5AA36F90AE}" name="PivotTable11" cacheId="7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U6:W7" firstHeaderRow="0" firstDataRow="1" firstDataCol="0"/>
  <pivotFields count="10">
    <pivotField showAll="0"/>
    <pivotField showAll="0">
      <items count="5">
        <item x="2"/>
        <item x="0"/>
        <item x="1"/>
        <item x="3"/>
        <item t="default"/>
      </items>
    </pivotField>
    <pivotField showAll="0">
      <items count="4">
        <item x="0"/>
        <item x="1"/>
        <item x="2"/>
        <item t="default"/>
      </items>
    </pivotField>
    <pivotField showAll="0"/>
    <pivotField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dataField="1" showAll="0"/>
    <pivotField dataField="1" showAll="0"/>
    <pivotField dataField="1" showAll="0"/>
    <pivotField showAll="0">
      <items count="8">
        <item x="0"/>
        <item x="1"/>
        <item x="2"/>
        <item x="3"/>
        <item x="4"/>
        <item x="5"/>
        <item x="6"/>
        <item t="default"/>
      </items>
    </pivotField>
    <pivotField showAll="0"/>
  </pivotFields>
  <rowItems count="1">
    <i/>
  </rowItems>
  <colFields count="1">
    <field x="-2"/>
  </colFields>
  <colItems count="3">
    <i>
      <x/>
    </i>
    <i i="1">
      <x v="1"/>
    </i>
    <i i="2">
      <x v="2"/>
    </i>
  </colItems>
  <dataFields count="3">
    <dataField name="Sum of Revenue" fld="6" baseField="0" baseItem="0"/>
    <dataField name="Sum of Profit" fld="7" baseField="0" baseItem="0"/>
    <dataField name="Sum of Units" fld="5" baseField="0" baseItem="0"/>
  </dataFields>
  <formats count="1">
    <format dxfId="4">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66BB4F-A795-49C3-A5C4-0C320EAA2D3B}" name="PivotTable10" cacheId="7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O5:P10" firstHeaderRow="1" firstDataRow="1" firstDataCol="1"/>
  <pivotFields count="10">
    <pivotField showAll="0"/>
    <pivotField showAll="0">
      <items count="5">
        <item x="2"/>
        <item x="0"/>
        <item x="1"/>
        <item x="3"/>
        <item t="default"/>
      </items>
    </pivotField>
    <pivotField showAll="0">
      <items count="4">
        <item x="0"/>
        <item x="1"/>
        <item x="2"/>
        <item t="default"/>
      </items>
    </pivotField>
    <pivotField showAll="0"/>
    <pivotField axis="axisRow"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items count="8">
        <item x="0"/>
        <item x="1"/>
        <item x="2"/>
        <item x="3"/>
        <item x="4"/>
        <item x="5"/>
        <item x="6"/>
        <item t="default"/>
      </items>
    </pivotField>
    <pivotField showAll="0"/>
  </pivotFields>
  <rowFields count="1">
    <field x="4"/>
  </rowFields>
  <rowItems count="5">
    <i>
      <x v="2"/>
    </i>
    <i>
      <x/>
    </i>
    <i>
      <x v="1"/>
    </i>
    <i>
      <x v="3"/>
    </i>
    <i t="grand">
      <x/>
    </i>
  </rowItems>
  <colItems count="1">
    <i/>
  </colItems>
  <dataFields count="1">
    <dataField name="Sum of Revenue" fld="6" baseField="0" baseItem="0"/>
  </dataFields>
  <formats count="1">
    <format dxfId="3">
      <pivotArea collapsedLevelsAreSubtotals="1" fieldPosition="0">
        <references count="1">
          <reference field="4" count="0"/>
        </references>
      </pivotArea>
    </format>
  </formats>
  <chartFormats count="1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4" count="1" selected="0">
            <x v="2"/>
          </reference>
        </references>
      </pivotArea>
    </chartFormat>
    <chartFormat chart="14" format="8">
      <pivotArea type="data" outline="0" fieldPosition="0">
        <references count="2">
          <reference field="4294967294" count="1" selected="0">
            <x v="0"/>
          </reference>
          <reference field="4" count="1" selected="0">
            <x v="0"/>
          </reference>
        </references>
      </pivotArea>
    </chartFormat>
    <chartFormat chart="14" format="9">
      <pivotArea type="data" outline="0" fieldPosition="0">
        <references count="2">
          <reference field="4294967294" count="1" selected="0">
            <x v="0"/>
          </reference>
          <reference field="4" count="1" selected="0">
            <x v="1"/>
          </reference>
        </references>
      </pivotArea>
    </chartFormat>
    <chartFormat chart="14" format="10">
      <pivotArea type="data" outline="0" fieldPosition="0">
        <references count="2">
          <reference field="4294967294" count="1" selected="0">
            <x v="0"/>
          </reference>
          <reference field="4" count="1" selected="0">
            <x v="3"/>
          </reference>
        </references>
      </pivotArea>
    </chartFormat>
    <chartFormat chart="6" format="1">
      <pivotArea type="data" outline="0" fieldPosition="0">
        <references count="2">
          <reference field="4294967294" count="1" selected="0">
            <x v="0"/>
          </reference>
          <reference field="4" count="1" selected="0">
            <x v="2"/>
          </reference>
        </references>
      </pivotArea>
    </chartFormat>
    <chartFormat chart="6" format="2">
      <pivotArea type="data" outline="0" fieldPosition="0">
        <references count="2">
          <reference field="4294967294" count="1" selected="0">
            <x v="0"/>
          </reference>
          <reference field="4" count="1" selected="0">
            <x v="0"/>
          </reference>
        </references>
      </pivotArea>
    </chartFormat>
    <chartFormat chart="6" format="3">
      <pivotArea type="data" outline="0" fieldPosition="0">
        <references count="2">
          <reference field="4294967294" count="1" selected="0">
            <x v="0"/>
          </reference>
          <reference field="4" count="1" selected="0">
            <x v="1"/>
          </reference>
        </references>
      </pivotArea>
    </chartFormat>
    <chartFormat chart="6"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F1956D-10CD-4D65-901D-33503CB47ACE}" name="PivotTable9" cacheId="7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I3:K11" firstHeaderRow="0" firstDataRow="1" firstDataCol="1"/>
  <pivotFields count="10">
    <pivotField showAll="0"/>
    <pivotField showAll="0">
      <items count="5">
        <item x="2"/>
        <item x="0"/>
        <item x="1"/>
        <item x="3"/>
        <item t="default"/>
      </items>
    </pivotField>
    <pivotField showAll="0">
      <items count="4">
        <item x="0"/>
        <item x="1"/>
        <item x="2"/>
        <item t="default"/>
      </items>
    </pivotField>
    <pivotField showAll="0"/>
    <pivotField showAll="0">
      <items count="5">
        <item x="0"/>
        <item x="1"/>
        <item x="3"/>
        <item x="2"/>
        <item t="default"/>
      </items>
    </pivotField>
    <pivotField showAll="0"/>
    <pivotField dataField="1" showAll="0"/>
    <pivotField dataField="1" showAll="0"/>
    <pivotField axis="axisRow" showAll="0">
      <items count="8">
        <item x="0"/>
        <item x="1"/>
        <item x="2"/>
        <item x="3"/>
        <item x="4"/>
        <item x="5"/>
        <item x="6"/>
        <item t="default"/>
      </items>
    </pivotField>
    <pivotField showAll="0"/>
  </pivotFields>
  <rowFields count="1">
    <field x="8"/>
  </rowFields>
  <rowItems count="8">
    <i>
      <x/>
    </i>
    <i>
      <x v="1"/>
    </i>
    <i>
      <x v="2"/>
    </i>
    <i>
      <x v="3"/>
    </i>
    <i>
      <x v="4"/>
    </i>
    <i>
      <x v="5"/>
    </i>
    <i>
      <x v="6"/>
    </i>
    <i t="grand">
      <x/>
    </i>
  </rowItems>
  <colFields count="1">
    <field x="-2"/>
  </colFields>
  <colItems count="2">
    <i>
      <x/>
    </i>
    <i i="1">
      <x v="1"/>
    </i>
  </colItems>
  <dataFields count="2">
    <dataField name="Sum of Revenue" fld="6" baseField="0" baseItem="0"/>
    <dataField name="Sum of Profit" fld="7" baseField="0" baseItem="0"/>
  </dataFields>
  <formats count="1">
    <format dxfId="2">
      <pivotArea collapsedLevelsAreSubtotals="1" fieldPosition="0">
        <references count="1">
          <reference field="8" count="0"/>
        </references>
      </pivotArea>
    </format>
  </formats>
  <chartFormats count="8">
    <chartFormat chart="4"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1"/>
          </reference>
        </references>
      </pivotArea>
    </chartFormat>
    <chartFormat chart="9"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C24245-0898-4B8D-A02F-1A22F9C1EBAB}" name="PivotTable8" cacheId="7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3:F7" firstHeaderRow="1" firstDataRow="1" firstDataCol="1"/>
  <pivotFields count="10">
    <pivotField showAll="0"/>
    <pivotField showAll="0">
      <items count="5">
        <item x="2"/>
        <item x="0"/>
        <item x="1"/>
        <item x="3"/>
        <item t="default"/>
      </items>
    </pivotField>
    <pivotField axis="axisRow" showAll="0">
      <items count="4">
        <item x="0"/>
        <item x="1"/>
        <item x="2"/>
        <item t="default"/>
      </items>
    </pivotField>
    <pivotField showAll="0"/>
    <pivotField showAll="0">
      <items count="5">
        <item x="0"/>
        <item x="1"/>
        <item x="3"/>
        <item x="2"/>
        <item t="default"/>
      </items>
    </pivotField>
    <pivotField showAll="0"/>
    <pivotField dataField="1" showAll="0"/>
    <pivotField showAll="0"/>
    <pivotField showAll="0">
      <items count="8">
        <item x="0"/>
        <item x="1"/>
        <item x="2"/>
        <item x="3"/>
        <item x="4"/>
        <item x="5"/>
        <item x="6"/>
        <item t="default"/>
      </items>
    </pivotField>
    <pivotField showAll="0"/>
  </pivotFields>
  <rowFields count="1">
    <field x="2"/>
  </rowFields>
  <rowItems count="4">
    <i>
      <x/>
    </i>
    <i>
      <x v="1"/>
    </i>
    <i>
      <x v="2"/>
    </i>
    <i t="grand">
      <x/>
    </i>
  </rowItems>
  <colItems count="1">
    <i/>
  </colItems>
  <dataFields count="1">
    <dataField name="Sum of Revenue" fld="6" baseField="0" baseItem="0"/>
  </dataFields>
  <formats count="1">
    <format dxfId="1">
      <pivotArea collapsedLevelsAreSubtotals="1" fieldPosition="0">
        <references count="1">
          <reference field="2" count="0"/>
        </references>
      </pivotArea>
    </format>
  </format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 count="1" selected="0">
            <x v="0"/>
          </reference>
        </references>
      </pivotArea>
    </chartFormat>
    <chartFormat chart="2" format="2">
      <pivotArea type="data" outline="0" fieldPosition="0">
        <references count="2">
          <reference field="4294967294" count="1" selected="0">
            <x v="0"/>
          </reference>
          <reference field="2" count="1" selected="0">
            <x v="1"/>
          </reference>
        </references>
      </pivotArea>
    </chartFormat>
    <chartFormat chart="2"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D956C6-B5BC-4DD0-9261-847A989F4632}" name="PivotTable7" cacheId="7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0">
    <pivotField showAll="0"/>
    <pivotField axis="axisRow" showAll="0">
      <items count="5">
        <item x="2"/>
        <item x="0"/>
        <item x="1"/>
        <item x="3"/>
        <item t="default"/>
      </items>
    </pivotField>
    <pivotField showAll="0">
      <items count="4">
        <item x="0"/>
        <item x="1"/>
        <item x="2"/>
        <item t="default"/>
      </items>
    </pivotField>
    <pivotField showAll="0"/>
    <pivotField showAll="0">
      <items count="5">
        <item x="0"/>
        <item x="1"/>
        <item x="3"/>
        <item x="2"/>
        <item t="default"/>
      </items>
    </pivotField>
    <pivotField showAll="0"/>
    <pivotField dataField="1" showAll="0"/>
    <pivotField showAll="0"/>
    <pivotField showAll="0">
      <items count="8">
        <item x="0"/>
        <item x="1"/>
        <item x="2"/>
        <item x="3"/>
        <item x="4"/>
        <item x="5"/>
        <item x="6"/>
        <item t="default"/>
      </items>
    </pivotField>
    <pivotField showAll="0"/>
  </pivotFields>
  <rowFields count="1">
    <field x="1"/>
  </rowFields>
  <rowItems count="5">
    <i>
      <x/>
    </i>
    <i>
      <x v="1"/>
    </i>
    <i>
      <x v="2"/>
    </i>
    <i>
      <x v="3"/>
    </i>
    <i t="grand">
      <x/>
    </i>
  </rowItems>
  <colItems count="1">
    <i/>
  </colItems>
  <dataFields count="1">
    <dataField name="Sum of Revenue" fld="6" baseField="0" baseItem="0"/>
  </dataFields>
  <formats count="1">
    <format dxfId="0">
      <pivotArea collapsedLevelsAreSubtotals="1" fieldPosition="0">
        <references count="1">
          <reference field="1" count="0"/>
        </references>
      </pivotArea>
    </format>
  </formats>
  <chartFormats count="6">
    <chartFormat chart="0" format="0"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1" count="1" selected="0">
            <x v="0"/>
          </reference>
        </references>
      </pivotArea>
    </chartFormat>
    <chartFormat chart="4" format="11">
      <pivotArea type="data" outline="0" fieldPosition="0">
        <references count="2">
          <reference field="4294967294" count="1" selected="0">
            <x v="0"/>
          </reference>
          <reference field="1" count="1" selected="0">
            <x v="1"/>
          </reference>
        </references>
      </pivotArea>
    </chartFormat>
    <chartFormat chart="4" format="12">
      <pivotArea type="data" outline="0" fieldPosition="0">
        <references count="2">
          <reference field="4294967294" count="1" selected="0">
            <x v="0"/>
          </reference>
          <reference field="1" count="1" selected="0">
            <x v="2"/>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8487EE7-1597-480D-9EF3-12992C1D8AC8}" sourceName="Category">
  <pivotTables>
    <pivotTable tabId="2" name="PivotTable7"/>
    <pivotTable tabId="2" name="PivotTable10"/>
    <pivotTable tabId="2" name="PivotTable11"/>
    <pivotTable tabId="2" name="PivotTable8"/>
    <pivotTable tabId="2" name="PivotTable9"/>
  </pivotTables>
  <data>
    <tabular pivotCacheId="112111014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C1FCBF8E-D281-4D06-BA89-42E2DBF6B0AA}" sourceName="Salesperson">
  <pivotTables>
    <pivotTable tabId="2" name="PivotTable7"/>
    <pivotTable tabId="2" name="PivotTable10"/>
    <pivotTable tabId="2" name="PivotTable11"/>
    <pivotTable tabId="2" name="PivotTable8"/>
    <pivotTable tabId="2" name="PivotTable9"/>
  </pivotTables>
  <data>
    <tabular pivotCacheId="1121110149">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8C4751AD-45E8-4344-B758-1C7EAB7637F5}" sourceName="Month Name">
  <pivotTables>
    <pivotTable tabId="2" name="PivotTable7"/>
    <pivotTable tabId="2" name="PivotTable10"/>
    <pivotTable tabId="2" name="PivotTable11"/>
    <pivotTable tabId="2" name="PivotTable8"/>
    <pivotTable tabId="2" name="PivotTable9"/>
  </pivotTables>
  <data>
    <tabular pivotCacheId="1121110149">
      <items count="7">
        <i x="0" s="1"/>
        <i x="1" s="1"/>
        <i x="2" s="1"/>
        <i x="3" s="1"/>
        <i x="4"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CB409CC-7AFD-4BBE-82DE-31528B47FA52}" cache="Slicer_Category" caption="Category" rowHeight="234950"/>
  <slicer name="Salesperson" xr10:uid="{B82E83FA-1815-48B6-8C9D-85BBB7CC24DA}" cache="Slicer_Salesperson" caption="Salesperson" rowHeight="234950"/>
  <slicer name="Month Name" xr10:uid="{420610B4-02DC-455C-A6D5-DCA29E675206}" cache="Slicer_Month_Name" caption="Month Nam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64E28C-1163-421C-A43B-90CB53584465}" name="Table1" displayName="Table1" ref="A1:J21" totalsRowShown="0">
  <autoFilter ref="A1:J21" xr:uid="{8464E28C-1163-421C-A43B-90CB53584465}"/>
  <tableColumns count="10">
    <tableColumn id="1" xr3:uid="{147065B6-801D-4D01-996E-A42CC584CB24}" name="Date"/>
    <tableColumn id="2" xr3:uid="{9BA1BDFE-7B9C-41A2-9CF0-21F1A74DBE96}" name="Region"/>
    <tableColumn id="3" xr3:uid="{D7BED31F-1359-4C9B-9438-277EE9E4E0A2}" name="Category"/>
    <tableColumn id="4" xr3:uid="{BCCAF282-2B4E-43F8-A296-029E2E5203D5}" name="Product"/>
    <tableColumn id="5" xr3:uid="{2F5D5C77-635B-4ED2-A11A-EAB993FC277C}" name="Salesperson"/>
    <tableColumn id="6" xr3:uid="{268A411F-9B1B-4C6A-ABBB-3525EDE343E5}" name="Units"/>
    <tableColumn id="7" xr3:uid="{5EA949EC-293D-4724-B908-F621EC11A6B1}" name="Revenue"/>
    <tableColumn id="8" xr3:uid="{4484892B-F252-4E41-A94E-94D5671E9BD2}" name="Profit"/>
    <tableColumn id="9" xr3:uid="{52F540E5-C3D0-4FE0-9BD4-75533C227E52}" name="Month Name">
      <calculatedColumnFormula>TEXT(A2,"mmm")</calculatedColumnFormula>
    </tableColumn>
    <tableColumn id="10" xr3:uid="{DBE389E6-64C1-4484-A4CE-61EC783BCFAC}" name="Year">
      <calculatedColumnFormula>TEXT(A2,"yyyy")</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FA98E-4F55-4C58-BC0A-55F427DF6C86}">
  <dimension ref="A3:W11"/>
  <sheetViews>
    <sheetView topLeftCell="J1" workbookViewId="0">
      <selection activeCell="U19" sqref="U19"/>
    </sheetView>
  </sheetViews>
  <sheetFormatPr defaultRowHeight="14.45"/>
  <cols>
    <col min="1" max="1" width="12.5703125" bestFit="1" customWidth="1"/>
    <col min="2" max="2" width="14.85546875" bestFit="1" customWidth="1"/>
    <col min="5" max="5" width="12.5703125" bestFit="1" customWidth="1"/>
    <col min="6" max="6" width="14.85546875" bestFit="1" customWidth="1"/>
    <col min="9" max="9" width="12.5703125" bestFit="1" customWidth="1"/>
    <col min="10" max="10" width="14.85546875" bestFit="1" customWidth="1"/>
    <col min="11" max="11" width="12.140625" bestFit="1" customWidth="1"/>
    <col min="15" max="15" width="12.5703125" bestFit="1" customWidth="1"/>
    <col min="16" max="16" width="14.85546875" bestFit="1" customWidth="1"/>
    <col min="21" max="21" width="14.85546875" bestFit="1" customWidth="1"/>
    <col min="22" max="22" width="12.140625" bestFit="1" customWidth="1"/>
    <col min="23" max="23" width="11.7109375" bestFit="1" customWidth="1"/>
  </cols>
  <sheetData>
    <row r="3" spans="1:23">
      <c r="A3" s="3" t="s">
        <v>0</v>
      </c>
      <c r="B3" t="s">
        <v>1</v>
      </c>
      <c r="E3" s="3" t="s">
        <v>0</v>
      </c>
      <c r="F3" t="s">
        <v>1</v>
      </c>
      <c r="I3" s="3" t="s">
        <v>0</v>
      </c>
      <c r="J3" t="s">
        <v>1</v>
      </c>
      <c r="K3" t="s">
        <v>2</v>
      </c>
    </row>
    <row r="4" spans="1:23">
      <c r="A4" s="4" t="s">
        <v>3</v>
      </c>
      <c r="B4" s="5">
        <v>394000</v>
      </c>
      <c r="E4" s="4" t="s">
        <v>4</v>
      </c>
      <c r="F4" s="5">
        <v>1445000</v>
      </c>
      <c r="I4" s="4" t="s">
        <v>5</v>
      </c>
      <c r="J4" s="5">
        <v>856000</v>
      </c>
      <c r="K4" s="5">
        <v>140000</v>
      </c>
    </row>
    <row r="5" spans="1:23">
      <c r="A5" s="4" t="s">
        <v>6</v>
      </c>
      <c r="B5" s="5">
        <v>589000</v>
      </c>
      <c r="E5" s="4" t="s">
        <v>7</v>
      </c>
      <c r="F5" s="5">
        <v>587000</v>
      </c>
      <c r="I5" s="4" t="s">
        <v>8</v>
      </c>
      <c r="J5" s="5">
        <v>310000</v>
      </c>
      <c r="K5" s="5">
        <v>57000</v>
      </c>
      <c r="O5" s="3" t="s">
        <v>0</v>
      </c>
      <c r="P5" t="s">
        <v>1</v>
      </c>
    </row>
    <row r="6" spans="1:23">
      <c r="A6" s="4" t="s">
        <v>9</v>
      </c>
      <c r="B6" s="5">
        <v>495000</v>
      </c>
      <c r="E6" s="4" t="s">
        <v>10</v>
      </c>
      <c r="F6" s="5">
        <v>436000</v>
      </c>
      <c r="I6" s="4" t="s">
        <v>11</v>
      </c>
      <c r="J6" s="5">
        <v>304000</v>
      </c>
      <c r="K6" s="5">
        <v>56000</v>
      </c>
      <c r="O6" s="4" t="s">
        <v>12</v>
      </c>
      <c r="P6" s="5">
        <v>990000</v>
      </c>
      <c r="U6" t="s">
        <v>1</v>
      </c>
      <c r="V6" t="s">
        <v>2</v>
      </c>
      <c r="W6" t="s">
        <v>13</v>
      </c>
    </row>
    <row r="7" spans="1:23">
      <c r="A7" s="4" t="s">
        <v>14</v>
      </c>
      <c r="B7" s="5">
        <v>990000</v>
      </c>
      <c r="E7" s="4" t="s">
        <v>15</v>
      </c>
      <c r="F7" s="2">
        <v>2468000</v>
      </c>
      <c r="I7" s="4" t="s">
        <v>16</v>
      </c>
      <c r="J7" s="5">
        <v>200000</v>
      </c>
      <c r="K7" s="5">
        <v>44000</v>
      </c>
      <c r="O7" s="4" t="s">
        <v>17</v>
      </c>
      <c r="P7" s="5">
        <v>589000</v>
      </c>
      <c r="U7" s="5">
        <v>2468000</v>
      </c>
      <c r="V7" s="5">
        <v>451000</v>
      </c>
      <c r="W7" s="5">
        <v>633</v>
      </c>
    </row>
    <row r="8" spans="1:23">
      <c r="A8" s="4" t="s">
        <v>15</v>
      </c>
      <c r="B8" s="2">
        <v>2468000</v>
      </c>
      <c r="I8" s="4" t="s">
        <v>18</v>
      </c>
      <c r="J8" s="5">
        <v>238000</v>
      </c>
      <c r="K8" s="5">
        <v>47000</v>
      </c>
      <c r="O8" s="4" t="s">
        <v>19</v>
      </c>
      <c r="P8" s="5">
        <v>495000</v>
      </c>
    </row>
    <row r="9" spans="1:23">
      <c r="I9" s="4" t="s">
        <v>20</v>
      </c>
      <c r="J9" s="5">
        <v>350000</v>
      </c>
      <c r="K9" s="5">
        <v>65000</v>
      </c>
      <c r="O9" s="4" t="s">
        <v>21</v>
      </c>
      <c r="P9" s="5">
        <v>394000</v>
      </c>
    </row>
    <row r="10" spans="1:23">
      <c r="I10" s="4" t="s">
        <v>22</v>
      </c>
      <c r="J10" s="5">
        <v>210000</v>
      </c>
      <c r="K10" s="5">
        <v>42000</v>
      </c>
      <c r="O10" s="4" t="s">
        <v>15</v>
      </c>
      <c r="P10" s="2">
        <v>2468000</v>
      </c>
    </row>
    <row r="11" spans="1:23">
      <c r="I11" s="4" t="s">
        <v>15</v>
      </c>
      <c r="J11" s="2">
        <v>2468000</v>
      </c>
      <c r="K11" s="2">
        <v>451000</v>
      </c>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70EBD-62E1-42E3-9C6C-D63F78160271}">
  <dimension ref="A1"/>
  <sheetViews>
    <sheetView showGridLines="0" tabSelected="1" workbookViewId="0">
      <selection activeCell="T20" sqref="T20"/>
    </sheetView>
  </sheetViews>
  <sheetFormatPr defaultRowHeight="14.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
  <sheetViews>
    <sheetView topLeftCell="A4" workbookViewId="0"/>
  </sheetViews>
  <sheetFormatPr defaultRowHeight="14.45"/>
  <cols>
    <col min="1" max="1" width="10.28515625" bestFit="1" customWidth="1"/>
    <col min="2" max="2" width="8.7109375" customWidth="1"/>
    <col min="3" max="3" width="10.42578125" customWidth="1"/>
    <col min="4" max="4" width="11.140625" bestFit="1" customWidth="1"/>
    <col min="5" max="5" width="12.85546875" customWidth="1"/>
    <col min="6" max="6" width="7.28515625" customWidth="1"/>
    <col min="7" max="7" width="10.28515625" customWidth="1"/>
    <col min="8" max="8" width="9.28515625" customWidth="1"/>
    <col min="9" max="9" width="14.140625" customWidth="1"/>
  </cols>
  <sheetData>
    <row r="1" spans="1:10">
      <c r="A1" t="s">
        <v>23</v>
      </c>
      <c r="B1" t="s">
        <v>24</v>
      </c>
      <c r="C1" t="s">
        <v>25</v>
      </c>
      <c r="D1" t="s">
        <v>26</v>
      </c>
      <c r="E1" t="s">
        <v>27</v>
      </c>
      <c r="F1" t="s">
        <v>28</v>
      </c>
      <c r="G1" t="s">
        <v>29</v>
      </c>
      <c r="H1" t="s">
        <v>30</v>
      </c>
      <c r="I1" t="s">
        <v>31</v>
      </c>
      <c r="J1" t="s">
        <v>32</v>
      </c>
    </row>
    <row r="2" spans="1:10">
      <c r="A2" t="s">
        <v>33</v>
      </c>
      <c r="B2" t="s">
        <v>6</v>
      </c>
      <c r="C2" t="s">
        <v>4</v>
      </c>
      <c r="D2" t="s">
        <v>34</v>
      </c>
      <c r="E2" t="s">
        <v>17</v>
      </c>
      <c r="F2">
        <v>5</v>
      </c>
      <c r="G2">
        <v>250000</v>
      </c>
      <c r="H2">
        <v>40000</v>
      </c>
      <c r="I2" t="str">
        <f>TEXT(A2,"mmm")</f>
        <v>Jan</v>
      </c>
      <c r="J2" t="str">
        <f>TEXT(A2,"yyyy")</f>
        <v>2026</v>
      </c>
    </row>
    <row r="3" spans="1:10">
      <c r="A3" t="s">
        <v>35</v>
      </c>
      <c r="B3" t="s">
        <v>9</v>
      </c>
      <c r="C3" t="s">
        <v>7</v>
      </c>
      <c r="D3" t="s">
        <v>36</v>
      </c>
      <c r="E3" t="s">
        <v>19</v>
      </c>
      <c r="F3">
        <v>20</v>
      </c>
      <c r="G3">
        <v>60000</v>
      </c>
      <c r="H3">
        <v>12000</v>
      </c>
      <c r="I3" t="str">
        <f t="shared" ref="I3:I21" si="0">TEXT(A3,"mmm")</f>
        <v>Jan</v>
      </c>
      <c r="J3" t="str">
        <f t="shared" ref="J3:J21" si="1">TEXT(A3,"yyyy")</f>
        <v>2026</v>
      </c>
    </row>
    <row r="4" spans="1:10">
      <c r="A4" t="s">
        <v>37</v>
      </c>
      <c r="B4" t="s">
        <v>3</v>
      </c>
      <c r="C4" t="s">
        <v>10</v>
      </c>
      <c r="D4" t="s">
        <v>38</v>
      </c>
      <c r="E4" t="s">
        <v>21</v>
      </c>
      <c r="F4">
        <v>8</v>
      </c>
      <c r="G4">
        <v>96000</v>
      </c>
      <c r="H4">
        <v>18000</v>
      </c>
      <c r="I4" t="str">
        <f t="shared" si="0"/>
        <v>Jan</v>
      </c>
      <c r="J4" t="str">
        <f t="shared" si="1"/>
        <v>2026</v>
      </c>
    </row>
    <row r="5" spans="1:10">
      <c r="A5" t="s">
        <v>39</v>
      </c>
      <c r="B5" t="s">
        <v>14</v>
      </c>
      <c r="C5" t="s">
        <v>4</v>
      </c>
      <c r="D5" t="s">
        <v>40</v>
      </c>
      <c r="E5" t="s">
        <v>12</v>
      </c>
      <c r="F5">
        <v>30</v>
      </c>
      <c r="G5">
        <v>450000</v>
      </c>
      <c r="H5">
        <v>70000</v>
      </c>
      <c r="I5" t="str">
        <f t="shared" si="0"/>
        <v>Jan</v>
      </c>
      <c r="J5" t="str">
        <f t="shared" si="1"/>
        <v>2026</v>
      </c>
    </row>
    <row r="6" spans="1:10">
      <c r="A6" t="s">
        <v>41</v>
      </c>
      <c r="B6" t="s">
        <v>6</v>
      </c>
      <c r="C6" t="s">
        <v>7</v>
      </c>
      <c r="D6" t="s">
        <v>42</v>
      </c>
      <c r="E6" t="s">
        <v>17</v>
      </c>
      <c r="F6">
        <v>10</v>
      </c>
      <c r="G6">
        <v>80000</v>
      </c>
      <c r="H6">
        <v>15000</v>
      </c>
      <c r="I6" t="str">
        <f t="shared" si="0"/>
        <v>Feb</v>
      </c>
      <c r="J6" t="str">
        <f t="shared" si="1"/>
        <v>2026</v>
      </c>
    </row>
    <row r="7" spans="1:10">
      <c r="A7" t="s">
        <v>43</v>
      </c>
      <c r="B7" t="s">
        <v>9</v>
      </c>
      <c r="C7" t="s">
        <v>4</v>
      </c>
      <c r="D7" t="s">
        <v>44</v>
      </c>
      <c r="E7" t="s">
        <v>19</v>
      </c>
      <c r="F7">
        <v>15</v>
      </c>
      <c r="G7">
        <v>180000</v>
      </c>
      <c r="H7">
        <v>32000</v>
      </c>
      <c r="I7" t="str">
        <f t="shared" si="0"/>
        <v>Feb</v>
      </c>
      <c r="J7" t="str">
        <f t="shared" si="1"/>
        <v>2026</v>
      </c>
    </row>
    <row r="8" spans="1:10">
      <c r="A8" t="s">
        <v>45</v>
      </c>
      <c r="B8" t="s">
        <v>3</v>
      </c>
      <c r="C8" t="s">
        <v>10</v>
      </c>
      <c r="D8" t="s">
        <v>46</v>
      </c>
      <c r="E8" t="s">
        <v>21</v>
      </c>
      <c r="F8">
        <v>100</v>
      </c>
      <c r="G8">
        <v>50000</v>
      </c>
      <c r="H8">
        <v>10000</v>
      </c>
      <c r="I8" t="str">
        <f t="shared" si="0"/>
        <v>Feb</v>
      </c>
      <c r="J8" t="str">
        <f t="shared" si="1"/>
        <v>2026</v>
      </c>
    </row>
    <row r="9" spans="1:10">
      <c r="A9" t="s">
        <v>47</v>
      </c>
      <c r="B9" t="s">
        <v>14</v>
      </c>
      <c r="C9" t="s">
        <v>4</v>
      </c>
      <c r="D9" t="s">
        <v>48</v>
      </c>
      <c r="E9" t="s">
        <v>12</v>
      </c>
      <c r="F9">
        <v>12</v>
      </c>
      <c r="G9">
        <v>144000</v>
      </c>
      <c r="H9">
        <v>25000</v>
      </c>
      <c r="I9" t="str">
        <f t="shared" si="0"/>
        <v>Mar</v>
      </c>
      <c r="J9" t="str">
        <f t="shared" si="1"/>
        <v>2026</v>
      </c>
    </row>
    <row r="10" spans="1:10">
      <c r="A10" t="s">
        <v>49</v>
      </c>
      <c r="B10" t="s">
        <v>6</v>
      </c>
      <c r="C10" t="s">
        <v>10</v>
      </c>
      <c r="D10" t="s">
        <v>50</v>
      </c>
      <c r="E10" t="s">
        <v>17</v>
      </c>
      <c r="F10">
        <v>7</v>
      </c>
      <c r="G10">
        <v>70000</v>
      </c>
      <c r="H10">
        <v>14000</v>
      </c>
      <c r="I10" t="str">
        <f t="shared" si="0"/>
        <v>Mar</v>
      </c>
      <c r="J10" t="str">
        <f t="shared" si="1"/>
        <v>2026</v>
      </c>
    </row>
    <row r="11" spans="1:10">
      <c r="A11" t="s">
        <v>51</v>
      </c>
      <c r="B11" t="s">
        <v>9</v>
      </c>
      <c r="C11" t="s">
        <v>7</v>
      </c>
      <c r="D11" t="s">
        <v>52</v>
      </c>
      <c r="E11" t="s">
        <v>19</v>
      </c>
      <c r="F11">
        <v>6</v>
      </c>
      <c r="G11">
        <v>90000</v>
      </c>
      <c r="H11">
        <v>17000</v>
      </c>
      <c r="I11" t="str">
        <f t="shared" si="0"/>
        <v>Mar</v>
      </c>
      <c r="J11" t="str">
        <f t="shared" si="1"/>
        <v>2026</v>
      </c>
    </row>
    <row r="12" spans="1:10">
      <c r="A12" t="s">
        <v>53</v>
      </c>
      <c r="B12" t="s">
        <v>3</v>
      </c>
      <c r="C12" t="s">
        <v>4</v>
      </c>
      <c r="D12" t="s">
        <v>54</v>
      </c>
      <c r="E12" t="s">
        <v>21</v>
      </c>
      <c r="F12">
        <v>40</v>
      </c>
      <c r="G12">
        <v>80000</v>
      </c>
      <c r="H12">
        <v>16000</v>
      </c>
      <c r="I12" t="str">
        <f t="shared" si="0"/>
        <v>Apr</v>
      </c>
      <c r="J12" t="str">
        <f t="shared" si="1"/>
        <v>2026</v>
      </c>
    </row>
    <row r="13" spans="1:10">
      <c r="A13" t="s">
        <v>55</v>
      </c>
      <c r="B13" t="s">
        <v>14</v>
      </c>
      <c r="C13" t="s">
        <v>10</v>
      </c>
      <c r="D13" t="s">
        <v>56</v>
      </c>
      <c r="E13" t="s">
        <v>12</v>
      </c>
      <c r="F13">
        <v>4</v>
      </c>
      <c r="G13">
        <v>120000</v>
      </c>
      <c r="H13">
        <v>28000</v>
      </c>
      <c r="I13" t="str">
        <f t="shared" si="0"/>
        <v>Apr</v>
      </c>
      <c r="J13" t="str">
        <f t="shared" si="1"/>
        <v>2026</v>
      </c>
    </row>
    <row r="14" spans="1:10">
      <c r="A14" t="s">
        <v>57</v>
      </c>
      <c r="B14" t="s">
        <v>6</v>
      </c>
      <c r="C14" t="s">
        <v>4</v>
      </c>
      <c r="D14" t="s">
        <v>58</v>
      </c>
      <c r="E14" t="s">
        <v>17</v>
      </c>
      <c r="F14">
        <v>60</v>
      </c>
      <c r="G14">
        <v>90000</v>
      </c>
      <c r="H14">
        <v>18000</v>
      </c>
      <c r="I14" t="str">
        <f t="shared" si="0"/>
        <v>May</v>
      </c>
      <c r="J14" t="str">
        <f t="shared" si="1"/>
        <v>2026</v>
      </c>
    </row>
    <row r="15" spans="1:10">
      <c r="A15" t="s">
        <v>59</v>
      </c>
      <c r="B15" t="s">
        <v>9</v>
      </c>
      <c r="C15" t="s">
        <v>10</v>
      </c>
      <c r="D15" t="s">
        <v>60</v>
      </c>
      <c r="E15" t="s">
        <v>19</v>
      </c>
      <c r="F15">
        <v>50</v>
      </c>
      <c r="G15">
        <v>40000</v>
      </c>
      <c r="H15">
        <v>8000</v>
      </c>
      <c r="I15" t="str">
        <f t="shared" si="0"/>
        <v>May</v>
      </c>
      <c r="J15" t="str">
        <f t="shared" si="1"/>
        <v>2026</v>
      </c>
    </row>
    <row r="16" spans="1:10">
      <c r="A16" t="s">
        <v>61</v>
      </c>
      <c r="B16" t="s">
        <v>3</v>
      </c>
      <c r="C16" t="s">
        <v>7</v>
      </c>
      <c r="D16" t="s">
        <v>62</v>
      </c>
      <c r="E16" t="s">
        <v>21</v>
      </c>
      <c r="F16">
        <v>9</v>
      </c>
      <c r="G16">
        <v>108000</v>
      </c>
      <c r="H16">
        <v>21000</v>
      </c>
      <c r="I16" t="str">
        <f t="shared" si="0"/>
        <v>May</v>
      </c>
      <c r="J16" t="str">
        <f t="shared" si="1"/>
        <v>2026</v>
      </c>
    </row>
    <row r="17" spans="1:10">
      <c r="A17" t="s">
        <v>63</v>
      </c>
      <c r="B17" t="s">
        <v>14</v>
      </c>
      <c r="C17" t="s">
        <v>4</v>
      </c>
      <c r="D17" t="s">
        <v>64</v>
      </c>
      <c r="E17" t="s">
        <v>12</v>
      </c>
      <c r="F17">
        <v>18</v>
      </c>
      <c r="G17">
        <v>126000</v>
      </c>
      <c r="H17">
        <v>24000</v>
      </c>
      <c r="I17" t="str">
        <f t="shared" si="0"/>
        <v>Jun</v>
      </c>
      <c r="J17" t="str">
        <f t="shared" si="1"/>
        <v>2026</v>
      </c>
    </row>
    <row r="18" spans="1:10">
      <c r="A18" t="s">
        <v>65</v>
      </c>
      <c r="B18" t="s">
        <v>6</v>
      </c>
      <c r="C18" t="s">
        <v>7</v>
      </c>
      <c r="D18" t="s">
        <v>66</v>
      </c>
      <c r="E18" t="s">
        <v>17</v>
      </c>
      <c r="F18">
        <v>11</v>
      </c>
      <c r="G18">
        <v>99000</v>
      </c>
      <c r="H18">
        <v>19000</v>
      </c>
      <c r="I18" t="str">
        <f t="shared" si="0"/>
        <v>Jun</v>
      </c>
      <c r="J18" t="str">
        <f t="shared" si="1"/>
        <v>2026</v>
      </c>
    </row>
    <row r="19" spans="1:10">
      <c r="A19" t="s">
        <v>67</v>
      </c>
      <c r="B19" t="s">
        <v>9</v>
      </c>
      <c r="C19" t="s">
        <v>4</v>
      </c>
      <c r="D19" t="s">
        <v>68</v>
      </c>
      <c r="E19" t="s">
        <v>19</v>
      </c>
      <c r="F19">
        <v>25</v>
      </c>
      <c r="G19">
        <v>125000</v>
      </c>
      <c r="H19">
        <v>22000</v>
      </c>
      <c r="I19" t="str">
        <f t="shared" si="0"/>
        <v>Jun</v>
      </c>
      <c r="J19" t="str">
        <f t="shared" si="1"/>
        <v>2026</v>
      </c>
    </row>
    <row r="20" spans="1:10">
      <c r="A20" t="s">
        <v>69</v>
      </c>
      <c r="B20" t="s">
        <v>3</v>
      </c>
      <c r="C20" t="s">
        <v>10</v>
      </c>
      <c r="D20" t="s">
        <v>70</v>
      </c>
      <c r="E20" t="s">
        <v>21</v>
      </c>
      <c r="F20">
        <v>200</v>
      </c>
      <c r="G20">
        <v>60000</v>
      </c>
      <c r="H20">
        <v>12000</v>
      </c>
      <c r="I20" t="str">
        <f t="shared" si="0"/>
        <v>Jul</v>
      </c>
      <c r="J20" t="str">
        <f t="shared" si="1"/>
        <v>2026</v>
      </c>
    </row>
    <row r="21" spans="1:10">
      <c r="A21" t="s">
        <v>71</v>
      </c>
      <c r="B21" t="s">
        <v>14</v>
      </c>
      <c r="C21" t="s">
        <v>7</v>
      </c>
      <c r="D21" t="s">
        <v>72</v>
      </c>
      <c r="E21" t="s">
        <v>12</v>
      </c>
      <c r="F21">
        <v>3</v>
      </c>
      <c r="G21">
        <v>150000</v>
      </c>
      <c r="H21">
        <v>30000</v>
      </c>
      <c r="I21" t="str">
        <f t="shared" si="0"/>
        <v>Jul</v>
      </c>
      <c r="J21" t="str">
        <f t="shared" si="1"/>
        <v>2026</v>
      </c>
    </row>
    <row r="23" spans="1:10">
      <c r="A23" s="1" t="s">
        <v>73</v>
      </c>
    </row>
    <row r="24" spans="1:10">
      <c r="A24" s="1" t="s">
        <v>74</v>
      </c>
    </row>
    <row r="25" spans="1:10">
      <c r="A25" s="1" t="s">
        <v>75</v>
      </c>
    </row>
    <row r="26" spans="1:10">
      <c r="A26" s="1" t="s">
        <v>76</v>
      </c>
    </row>
    <row r="27" spans="1:10">
      <c r="A27" s="1" t="s">
        <v>77</v>
      </c>
    </row>
    <row r="28" spans="1:10">
      <c r="A28" s="1" t="s">
        <v>78</v>
      </c>
    </row>
    <row r="29" spans="1:10">
      <c r="A29" s="1" t="s">
        <v>79</v>
      </c>
    </row>
    <row r="30" spans="1:10">
      <c r="A30" s="1" t="s">
        <v>80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Guest User</cp:lastModifiedBy>
  <cp:revision/>
  <dcterms:created xsi:type="dcterms:W3CDTF">2026-07-12T07:10:42Z</dcterms:created>
  <dcterms:modified xsi:type="dcterms:W3CDTF">2026-07-27T18:06:18Z</dcterms:modified>
  <cp:category/>
  <cp:contentStatus/>
</cp:coreProperties>
</file>