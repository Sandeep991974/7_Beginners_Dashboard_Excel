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05D1C50AD1D7F52/Documents/"/>
    </mc:Choice>
  </mc:AlternateContent>
  <xr:revisionPtr revIDLastSave="1" documentId="8_{43EBD12D-B024-4A28-AC8F-1A82BB1EF052}" xr6:coauthVersionLast="47" xr6:coauthVersionMax="47" xr10:uidLastSave="{DBDC4245-C19E-4E9C-988D-C2AD25671929}"/>
  <bookViews>
    <workbookView xWindow="-108" yWindow="-108" windowWidth="23256" windowHeight="12456" activeTab="2" xr2:uid="{00000000-000D-0000-FFFF-FFFF00000000}"/>
  </bookViews>
  <sheets>
    <sheet name="EmployeeData" sheetId="1" r:id="rId1"/>
    <sheet name="Pivot" sheetId="3" r:id="rId2"/>
    <sheet name="Dashboard" sheetId="2" r:id="rId3"/>
  </sheets>
  <definedNames>
    <definedName name="Slicer_Location">#N/A</definedName>
    <definedName name="Slicer_Month">#N/A</definedName>
  </definedNames>
  <calcPr calcId="191029"/>
  <pivotCaches>
    <pivotCache cacheId="2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2" i="1"/>
</calcChain>
</file>

<file path=xl/sharedStrings.xml><?xml version="1.0" encoding="utf-8"?>
<sst xmlns="http://schemas.openxmlformats.org/spreadsheetml/2006/main" count="116" uniqueCount="74">
  <si>
    <t>Employee ID</t>
  </si>
  <si>
    <t>Employee Name</t>
  </si>
  <si>
    <t>Department</t>
  </si>
  <si>
    <t>Location</t>
  </si>
  <si>
    <t>Joining Date</t>
  </si>
  <si>
    <t>Projects Completed</t>
  </si>
  <si>
    <t>Performance Score</t>
  </si>
  <si>
    <t>Training Hours</t>
  </si>
  <si>
    <t>E001</t>
  </si>
  <si>
    <t>Amit</t>
  </si>
  <si>
    <t>IT</t>
  </si>
  <si>
    <t>Delhi</t>
  </si>
  <si>
    <t>2024-01-15</t>
  </si>
  <si>
    <t>E002</t>
  </si>
  <si>
    <t>Neha</t>
  </si>
  <si>
    <t>HR</t>
  </si>
  <si>
    <t>Mumbai</t>
  </si>
  <si>
    <t>2023-11-20</t>
  </si>
  <si>
    <t>E003</t>
  </si>
  <si>
    <t>Riya</t>
  </si>
  <si>
    <t>Finance</t>
  </si>
  <si>
    <t>Bengaluru</t>
  </si>
  <si>
    <t>2024-02-10</t>
  </si>
  <si>
    <t>E004</t>
  </si>
  <si>
    <t>Rahul</t>
  </si>
  <si>
    <t>Hyderabad</t>
  </si>
  <si>
    <t>2023-08-18</t>
  </si>
  <si>
    <t>E005</t>
  </si>
  <si>
    <t>Priya</t>
  </si>
  <si>
    <t>Marketing</t>
  </si>
  <si>
    <t>Pune</t>
  </si>
  <si>
    <t>2024-03-05</t>
  </si>
  <si>
    <t>E006</t>
  </si>
  <si>
    <t>Vikas</t>
  </si>
  <si>
    <t>2023-12-12</t>
  </si>
  <si>
    <t>E007</t>
  </si>
  <si>
    <t>Sneha</t>
  </si>
  <si>
    <t>Chennai</t>
  </si>
  <si>
    <t>2024-04-01</t>
  </si>
  <si>
    <t>E008</t>
  </si>
  <si>
    <t>Arjun</t>
  </si>
  <si>
    <t>2023-09-27</t>
  </si>
  <si>
    <t>E009</t>
  </si>
  <si>
    <t>Karan</t>
  </si>
  <si>
    <t>2024-05-14</t>
  </si>
  <si>
    <t>E010</t>
  </si>
  <si>
    <t>Pooja</t>
  </si>
  <si>
    <t>2023-10-30</t>
  </si>
  <si>
    <t>E011</t>
  </si>
  <si>
    <t>Rohit</t>
  </si>
  <si>
    <t>2024-01-25</t>
  </si>
  <si>
    <t>E012</t>
  </si>
  <si>
    <t>Anjali</t>
  </si>
  <si>
    <t>2024-06-02</t>
  </si>
  <si>
    <t>Month</t>
  </si>
  <si>
    <t>Row Labels</t>
  </si>
  <si>
    <t>Grand Total</t>
  </si>
  <si>
    <t>Count of Employee ID</t>
  </si>
  <si>
    <t>Count of Employee Name</t>
  </si>
  <si>
    <t>Average of Performance Score</t>
  </si>
  <si>
    <t>Feb</t>
  </si>
  <si>
    <t>May</t>
  </si>
  <si>
    <t>Apr</t>
  </si>
  <si>
    <t>Jan</t>
  </si>
  <si>
    <t>Dec</t>
  </si>
  <si>
    <t>Jun</t>
  </si>
  <si>
    <t>Aug</t>
  </si>
  <si>
    <t>Sep</t>
  </si>
  <si>
    <t>Nov</t>
  </si>
  <si>
    <t>Mar</t>
  </si>
  <si>
    <t>Oct</t>
  </si>
  <si>
    <t>Sum of Projects Completed</t>
  </si>
  <si>
    <t>Column Labels</t>
  </si>
  <si>
    <t>Sum of Training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</si>
</sst>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3">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Finance</c:v>
                </c:pt>
                <c:pt idx="1">
                  <c:v>HR</c:v>
                </c:pt>
                <c:pt idx="2">
                  <c:v>IT</c:v>
                </c:pt>
                <c:pt idx="3">
                  <c:v>Marketing</c:v>
                </c:pt>
              </c:strCache>
            </c:strRef>
          </c:cat>
          <c:val>
            <c:numRef>
              <c:f>Pivot!$B$4:$B$8</c:f>
              <c:numCache>
                <c:formatCode>General</c:formatCode>
                <c:ptCount val="4"/>
                <c:pt idx="0">
                  <c:v>3</c:v>
                </c:pt>
                <c:pt idx="1">
                  <c:v>3</c:v>
                </c:pt>
                <c:pt idx="2">
                  <c:v>3</c:v>
                </c:pt>
                <c:pt idx="3">
                  <c:v>3</c:v>
                </c:pt>
              </c:numCache>
            </c:numRef>
          </c:val>
          <c:extLst>
            <c:ext xmlns:c16="http://schemas.microsoft.com/office/drawing/2014/chart" uri="{C3380CC4-5D6E-409C-BE32-E72D297353CC}">
              <c16:uniqueId val="{00000000-77EB-4EA1-8A4A-9C9E9169CB3D}"/>
            </c:ext>
          </c:extLst>
        </c:ser>
        <c:dLbls>
          <c:dLblPos val="outEnd"/>
          <c:showLegendKey val="0"/>
          <c:showVal val="1"/>
          <c:showCatName val="0"/>
          <c:showSerName val="0"/>
          <c:showPercent val="0"/>
          <c:showBubbleSize val="0"/>
        </c:dLbls>
        <c:gapWidth val="219"/>
        <c:overlap val="-27"/>
        <c:axId val="1334072591"/>
        <c:axId val="1414632943"/>
      </c:barChart>
      <c:catAx>
        <c:axId val="133407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32943"/>
        <c:crosses val="autoZero"/>
        <c:auto val="1"/>
        <c:lblAlgn val="ctr"/>
        <c:lblOffset val="100"/>
        <c:noMultiLvlLbl val="0"/>
      </c:catAx>
      <c:valAx>
        <c:axId val="141463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7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[Employee_Performance_Data.xlsx]Pivot!PivotTable13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By Departments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Finance</c:v>
                </c:pt>
                <c:pt idx="1">
                  <c:v>HR</c:v>
                </c:pt>
                <c:pt idx="2">
                  <c:v>IT</c:v>
                </c:pt>
                <c:pt idx="3">
                  <c:v>Marketing</c:v>
                </c:pt>
              </c:strCache>
            </c:strRef>
          </c:cat>
          <c:val>
            <c:numRef>
              <c:f>Pivot!$E$4:$E$8</c:f>
              <c:numCache>
                <c:formatCode>General</c:formatCode>
                <c:ptCount val="4"/>
                <c:pt idx="0">
                  <c:v>90</c:v>
                </c:pt>
                <c:pt idx="1">
                  <c:v>83.333333333333329</c:v>
                </c:pt>
                <c:pt idx="2">
                  <c:v>91.333333333333329</c:v>
                </c:pt>
                <c:pt idx="3">
                  <c:v>90</c:v>
                </c:pt>
              </c:numCache>
            </c:numRef>
          </c:val>
          <c:extLst>
            <c:ext xmlns:c16="http://schemas.microsoft.com/office/drawing/2014/chart" uri="{C3380CC4-5D6E-409C-BE32-E72D297353CC}">
              <c16:uniqueId val="{00000003-6674-44A2-9F75-C26ACB7669A2}"/>
            </c:ext>
          </c:extLst>
        </c:ser>
        <c:dLbls>
          <c:dLblPos val="outEnd"/>
          <c:showLegendKey val="0"/>
          <c:showVal val="1"/>
          <c:showCatName val="0"/>
          <c:showSerName val="0"/>
          <c:showPercent val="0"/>
          <c:showBubbleSize val="0"/>
        </c:dLbls>
        <c:gapWidth val="182"/>
        <c:axId val="1334099967"/>
        <c:axId val="1414654543"/>
      </c:barChart>
      <c:catAx>
        <c:axId val="133409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54543"/>
        <c:crosses val="autoZero"/>
        <c:auto val="1"/>
        <c:lblAlgn val="ctr"/>
        <c:lblOffset val="100"/>
        <c:noMultiLvlLbl val="0"/>
      </c:catAx>
      <c:valAx>
        <c:axId val="141465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9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[Employee_Performance_Data.xlsx]Pivot!PivotTable14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Employees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Pivot!$H$4:$H$10</c:f>
              <c:strCache>
                <c:ptCount val="6"/>
                <c:pt idx="0">
                  <c:v>Bengaluru</c:v>
                </c:pt>
                <c:pt idx="1">
                  <c:v>Chennai</c:v>
                </c:pt>
                <c:pt idx="2">
                  <c:v>Delhi</c:v>
                </c:pt>
                <c:pt idx="3">
                  <c:v>Hyderabad</c:v>
                </c:pt>
                <c:pt idx="4">
                  <c:v>Mumbai</c:v>
                </c:pt>
                <c:pt idx="5">
                  <c:v>Pune</c:v>
                </c:pt>
              </c:strCache>
            </c:strRef>
          </c:cat>
          <c:val>
            <c:numRef>
              <c:f>Pivot!$I$4:$I$10</c:f>
              <c:numCache>
                <c:formatCode>General</c:formatCode>
                <c:ptCount val="6"/>
                <c:pt idx="0">
                  <c:v>2</c:v>
                </c:pt>
                <c:pt idx="1">
                  <c:v>1</c:v>
                </c:pt>
                <c:pt idx="2">
                  <c:v>3</c:v>
                </c:pt>
                <c:pt idx="3">
                  <c:v>2</c:v>
                </c:pt>
                <c:pt idx="4">
                  <c:v>2</c:v>
                </c:pt>
                <c:pt idx="5">
                  <c:v>2</c:v>
                </c:pt>
              </c:numCache>
            </c:numRef>
          </c:val>
          <c:extLst>
            <c:ext xmlns:c16="http://schemas.microsoft.com/office/drawing/2014/chart" uri="{C3380CC4-5D6E-409C-BE32-E72D297353CC}">
              <c16:uniqueId val="{00000000-DC7A-478B-AE8D-B9CFA0580FC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[Employee_Performance_Data.xlsx]Pivot!PivotTable15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Months</a:t>
            </a:r>
            <a:r>
              <a:rPr lang="en-IN" baseline="0"/>
              <a:t> Vs Project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Pivot!$M$4:$M$5</c:f>
              <c:strCache>
                <c:ptCount val="1"/>
                <c:pt idx="0">
                  <c:v>Finance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Pivot!$L$6:$L$17</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Pivot!$M$6:$M$17</c:f>
              <c:numCache>
                <c:formatCode>General</c:formatCode>
                <c:ptCount val="11"/>
                <c:pt idx="1">
                  <c:v>7</c:v>
                </c:pt>
                <c:pt idx="8">
                  <c:v>8</c:v>
                </c:pt>
                <c:pt idx="10">
                  <c:v>9</c:v>
                </c:pt>
              </c:numCache>
            </c:numRef>
          </c:val>
          <c:extLst>
            <c:ext xmlns:c16="http://schemas.microsoft.com/office/drawing/2014/chart" uri="{C3380CC4-5D6E-409C-BE32-E72D297353CC}">
              <c16:uniqueId val="{00000000-5E98-4834-A033-8319A7ED4134}"/>
            </c:ext>
          </c:extLst>
        </c:ser>
        <c:ser>
          <c:idx val="1"/>
          <c:order val="1"/>
          <c:tx>
            <c:strRef>
              <c:f>Pivot!$N$4:$N$5</c:f>
              <c:strCache>
                <c:ptCount val="1"/>
                <c:pt idx="0">
                  <c:v>HR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Pivot!$L$6:$L$17</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Pivot!$N$6:$N$17</c:f>
              <c:numCache>
                <c:formatCode>General</c:formatCode>
                <c:ptCount val="11"/>
                <c:pt idx="3">
                  <c:v>4</c:v>
                </c:pt>
                <c:pt idx="5">
                  <c:v>3</c:v>
                </c:pt>
                <c:pt idx="9">
                  <c:v>5</c:v>
                </c:pt>
              </c:numCache>
            </c:numRef>
          </c:val>
          <c:extLst>
            <c:ext xmlns:c16="http://schemas.microsoft.com/office/drawing/2014/chart" uri="{C3380CC4-5D6E-409C-BE32-E72D297353CC}">
              <c16:uniqueId val="{00000001-5E98-4834-A033-8319A7ED4134}"/>
            </c:ext>
          </c:extLst>
        </c:ser>
        <c:ser>
          <c:idx val="2"/>
          <c:order val="2"/>
          <c:tx>
            <c:strRef>
              <c:f>Pivot!$O$4:$O$5</c:f>
              <c:strCache>
                <c:ptCount val="1"/>
                <c:pt idx="0">
                  <c:v>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Pivot!$L$6:$L$17</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Pivot!$O$6:$O$17</c:f>
              <c:numCache>
                <c:formatCode>General</c:formatCode>
                <c:ptCount val="11"/>
                <c:pt idx="0">
                  <c:v>8</c:v>
                </c:pt>
                <c:pt idx="4">
                  <c:v>5</c:v>
                </c:pt>
                <c:pt idx="6">
                  <c:v>10</c:v>
                </c:pt>
              </c:numCache>
            </c:numRef>
          </c:val>
          <c:extLst>
            <c:ext xmlns:c16="http://schemas.microsoft.com/office/drawing/2014/chart" uri="{C3380CC4-5D6E-409C-BE32-E72D297353CC}">
              <c16:uniqueId val="{00000002-5E98-4834-A033-8319A7ED4134}"/>
            </c:ext>
          </c:extLst>
        </c:ser>
        <c:ser>
          <c:idx val="3"/>
          <c:order val="3"/>
          <c:tx>
            <c:strRef>
              <c:f>Pivot!$P$4:$P$5</c:f>
              <c:strCache>
                <c:ptCount val="1"/>
                <c:pt idx="0">
                  <c:v>Marketing</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Pivot!$L$6:$L$17</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Pivot!$P$6:$P$17</c:f>
              <c:numCache>
                <c:formatCode>General</c:formatCode>
                <c:ptCount val="11"/>
                <c:pt idx="0">
                  <c:v>7</c:v>
                </c:pt>
                <c:pt idx="2">
                  <c:v>6</c:v>
                </c:pt>
                <c:pt idx="7">
                  <c:v>11</c:v>
                </c:pt>
              </c:numCache>
            </c:numRef>
          </c:val>
          <c:extLst>
            <c:ext xmlns:c16="http://schemas.microsoft.com/office/drawing/2014/chart" uri="{C3380CC4-5D6E-409C-BE32-E72D297353CC}">
              <c16:uniqueId val="{00000003-5E98-4834-A033-8319A7ED4134}"/>
            </c:ext>
          </c:extLst>
        </c:ser>
        <c:dLbls>
          <c:dLblPos val="outEnd"/>
          <c:showLegendKey val="0"/>
          <c:showVal val="1"/>
          <c:showCatName val="0"/>
          <c:showSerName val="0"/>
          <c:showPercent val="0"/>
          <c:showBubbleSize val="0"/>
        </c:dLbls>
        <c:gapWidth val="2"/>
        <c:overlap val="-27"/>
        <c:axId val="1334188591"/>
        <c:axId val="1414559023"/>
      </c:barChart>
      <c:catAx>
        <c:axId val="133418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59023"/>
        <c:crosses val="autoZero"/>
        <c:auto val="1"/>
        <c:lblAlgn val="ctr"/>
        <c:lblOffset val="100"/>
        <c:noMultiLvlLbl val="0"/>
      </c:catAx>
      <c:valAx>
        <c:axId val="141455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18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Finance</c:v>
                </c:pt>
                <c:pt idx="1">
                  <c:v>HR</c:v>
                </c:pt>
                <c:pt idx="2">
                  <c:v>IT</c:v>
                </c:pt>
                <c:pt idx="3">
                  <c:v>Marketing</c:v>
                </c:pt>
              </c:strCache>
            </c:strRef>
          </c:cat>
          <c:val>
            <c:numRef>
              <c:f>Pivot!$B$4:$B$8</c:f>
              <c:numCache>
                <c:formatCode>General</c:formatCode>
                <c:ptCount val="4"/>
                <c:pt idx="0">
                  <c:v>3</c:v>
                </c:pt>
                <c:pt idx="1">
                  <c:v>3</c:v>
                </c:pt>
                <c:pt idx="2">
                  <c:v>3</c:v>
                </c:pt>
                <c:pt idx="3">
                  <c:v>3</c:v>
                </c:pt>
              </c:numCache>
            </c:numRef>
          </c:val>
          <c:extLst>
            <c:ext xmlns:c16="http://schemas.microsoft.com/office/drawing/2014/chart" uri="{C3380CC4-5D6E-409C-BE32-E72D297353CC}">
              <c16:uniqueId val="{00000004-D384-42BF-9F4C-F36D867264AC}"/>
            </c:ext>
          </c:extLst>
        </c:ser>
        <c:dLbls>
          <c:dLblPos val="outEnd"/>
          <c:showLegendKey val="0"/>
          <c:showVal val="1"/>
          <c:showCatName val="0"/>
          <c:showSerName val="0"/>
          <c:showPercent val="0"/>
          <c:showBubbleSize val="0"/>
        </c:dLbls>
        <c:gapWidth val="182"/>
        <c:axId val="1334099967"/>
        <c:axId val="1414654543"/>
      </c:barChart>
      <c:catAx>
        <c:axId val="133409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54543"/>
        <c:crosses val="autoZero"/>
        <c:auto val="1"/>
        <c:lblAlgn val="ctr"/>
        <c:lblOffset val="100"/>
        <c:noMultiLvlLbl val="0"/>
      </c:catAx>
      <c:valAx>
        <c:axId val="141465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9996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[Employee_Performance_Data.xlsx]Pivot!PivotTable13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By Departments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Finance</c:v>
                </c:pt>
                <c:pt idx="1">
                  <c:v>HR</c:v>
                </c:pt>
                <c:pt idx="2">
                  <c:v>IT</c:v>
                </c:pt>
                <c:pt idx="3">
                  <c:v>Marketing</c:v>
                </c:pt>
              </c:strCache>
            </c:strRef>
          </c:cat>
          <c:val>
            <c:numRef>
              <c:f>Pivot!$E$4:$E$8</c:f>
              <c:numCache>
                <c:formatCode>General</c:formatCode>
                <c:ptCount val="4"/>
                <c:pt idx="0">
                  <c:v>90</c:v>
                </c:pt>
                <c:pt idx="1">
                  <c:v>83.333333333333329</c:v>
                </c:pt>
                <c:pt idx="2">
                  <c:v>91.333333333333329</c:v>
                </c:pt>
                <c:pt idx="3">
                  <c:v>90</c:v>
                </c:pt>
              </c:numCache>
            </c:numRef>
          </c:val>
          <c:extLst>
            <c:ext xmlns:c16="http://schemas.microsoft.com/office/drawing/2014/chart" uri="{C3380CC4-5D6E-409C-BE32-E72D297353CC}">
              <c16:uniqueId val="{00000000-24EC-4C7C-AE3F-5B7984C4FBFF}"/>
            </c:ext>
          </c:extLst>
        </c:ser>
        <c:dLbls>
          <c:dLblPos val="outEnd"/>
          <c:showLegendKey val="0"/>
          <c:showVal val="1"/>
          <c:showCatName val="0"/>
          <c:showSerName val="0"/>
          <c:showPercent val="0"/>
          <c:showBubbleSize val="0"/>
        </c:dLbls>
        <c:gapWidth val="182"/>
        <c:axId val="1334099967"/>
        <c:axId val="1414654543"/>
      </c:barChart>
      <c:catAx>
        <c:axId val="133409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54543"/>
        <c:crosses val="autoZero"/>
        <c:auto val="1"/>
        <c:lblAlgn val="ctr"/>
        <c:lblOffset val="100"/>
        <c:noMultiLvlLbl val="0"/>
      </c:catAx>
      <c:valAx>
        <c:axId val="141465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9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[Employee_Performance_Data.xlsx]Pivot!PivotTable14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Employees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08-4C4A-B3B7-4EAAEEC09A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08-4C4A-B3B7-4EAAEEC09A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08-4C4A-B3B7-4EAAEEC09A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08-4C4A-B3B7-4EAAEEC09A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08-4C4A-B3B7-4EAAEEC09A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08-4C4A-B3B7-4EAAEEC09A1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Pivot!$H$4:$H$10</c:f>
              <c:strCache>
                <c:ptCount val="6"/>
                <c:pt idx="0">
                  <c:v>Bengaluru</c:v>
                </c:pt>
                <c:pt idx="1">
                  <c:v>Chennai</c:v>
                </c:pt>
                <c:pt idx="2">
                  <c:v>Delhi</c:v>
                </c:pt>
                <c:pt idx="3">
                  <c:v>Hyderabad</c:v>
                </c:pt>
                <c:pt idx="4">
                  <c:v>Mumbai</c:v>
                </c:pt>
                <c:pt idx="5">
                  <c:v>Pune</c:v>
                </c:pt>
              </c:strCache>
            </c:strRef>
          </c:cat>
          <c:val>
            <c:numRef>
              <c:f>Pivot!$I$4:$I$10</c:f>
              <c:numCache>
                <c:formatCode>General</c:formatCode>
                <c:ptCount val="6"/>
                <c:pt idx="0">
                  <c:v>2</c:v>
                </c:pt>
                <c:pt idx="1">
                  <c:v>1</c:v>
                </c:pt>
                <c:pt idx="2">
                  <c:v>3</c:v>
                </c:pt>
                <c:pt idx="3">
                  <c:v>2</c:v>
                </c:pt>
                <c:pt idx="4">
                  <c:v>2</c:v>
                </c:pt>
                <c:pt idx="5">
                  <c:v>2</c:v>
                </c:pt>
              </c:numCache>
            </c:numRef>
          </c:val>
          <c:extLst>
            <c:ext xmlns:c16="http://schemas.microsoft.com/office/drawing/2014/chart" uri="{C3380CC4-5D6E-409C-BE32-E72D297353CC}">
              <c16:uniqueId val="{0000000C-2A08-4C4A-B3B7-4EAAEEC09A1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[Employee_Performance_Data.xlsx]Pivot!PivotTable15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Months</a:t>
            </a:r>
            <a:r>
              <a:rPr lang="en-IN" baseline="0"/>
              <a:t> Vs Project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Pivot!$M$4:$M$5</c:f>
              <c:strCache>
                <c:ptCount val="1"/>
                <c:pt idx="0">
                  <c:v>Finance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Pivot!$L$6:$L$17</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Pivot!$M$6:$M$17</c:f>
              <c:numCache>
                <c:formatCode>General</c:formatCode>
                <c:ptCount val="11"/>
                <c:pt idx="1">
                  <c:v>7</c:v>
                </c:pt>
                <c:pt idx="8">
                  <c:v>8</c:v>
                </c:pt>
                <c:pt idx="10">
                  <c:v>9</c:v>
                </c:pt>
              </c:numCache>
            </c:numRef>
          </c:val>
          <c:extLst>
            <c:ext xmlns:c16="http://schemas.microsoft.com/office/drawing/2014/chart" uri="{C3380CC4-5D6E-409C-BE32-E72D297353CC}">
              <c16:uniqueId val="{00000000-F171-4A4E-B598-0CFB7FA5A4DC}"/>
            </c:ext>
          </c:extLst>
        </c:ser>
        <c:ser>
          <c:idx val="1"/>
          <c:order val="1"/>
          <c:tx>
            <c:strRef>
              <c:f>Pivot!$N$4:$N$5</c:f>
              <c:strCache>
                <c:ptCount val="1"/>
                <c:pt idx="0">
                  <c:v>HR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Pivot!$L$6:$L$17</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Pivot!$N$6:$N$17</c:f>
              <c:numCache>
                <c:formatCode>General</c:formatCode>
                <c:ptCount val="11"/>
                <c:pt idx="3">
                  <c:v>4</c:v>
                </c:pt>
                <c:pt idx="5">
                  <c:v>3</c:v>
                </c:pt>
                <c:pt idx="9">
                  <c:v>5</c:v>
                </c:pt>
              </c:numCache>
            </c:numRef>
          </c:val>
          <c:extLst>
            <c:ext xmlns:c16="http://schemas.microsoft.com/office/drawing/2014/chart" uri="{C3380CC4-5D6E-409C-BE32-E72D297353CC}">
              <c16:uniqueId val="{00000001-F171-4A4E-B598-0CFB7FA5A4DC}"/>
            </c:ext>
          </c:extLst>
        </c:ser>
        <c:ser>
          <c:idx val="2"/>
          <c:order val="2"/>
          <c:tx>
            <c:strRef>
              <c:f>Pivot!$O$4:$O$5</c:f>
              <c:strCache>
                <c:ptCount val="1"/>
                <c:pt idx="0">
                  <c:v>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Pivot!$L$6:$L$17</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Pivot!$O$6:$O$17</c:f>
              <c:numCache>
                <c:formatCode>General</c:formatCode>
                <c:ptCount val="11"/>
                <c:pt idx="0">
                  <c:v>8</c:v>
                </c:pt>
                <c:pt idx="4">
                  <c:v>5</c:v>
                </c:pt>
                <c:pt idx="6">
                  <c:v>10</c:v>
                </c:pt>
              </c:numCache>
            </c:numRef>
          </c:val>
          <c:extLst>
            <c:ext xmlns:c16="http://schemas.microsoft.com/office/drawing/2014/chart" uri="{C3380CC4-5D6E-409C-BE32-E72D297353CC}">
              <c16:uniqueId val="{00000002-F171-4A4E-B598-0CFB7FA5A4DC}"/>
            </c:ext>
          </c:extLst>
        </c:ser>
        <c:ser>
          <c:idx val="3"/>
          <c:order val="3"/>
          <c:tx>
            <c:strRef>
              <c:f>Pivot!$P$4:$P$5</c:f>
              <c:strCache>
                <c:ptCount val="1"/>
                <c:pt idx="0">
                  <c:v>Marketing</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Pivot!$L$6:$L$17</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Pivot!$P$6:$P$17</c:f>
              <c:numCache>
                <c:formatCode>General</c:formatCode>
                <c:ptCount val="11"/>
                <c:pt idx="0">
                  <c:v>7</c:v>
                </c:pt>
                <c:pt idx="2">
                  <c:v>6</c:v>
                </c:pt>
                <c:pt idx="7">
                  <c:v>11</c:v>
                </c:pt>
              </c:numCache>
            </c:numRef>
          </c:val>
          <c:extLst>
            <c:ext xmlns:c16="http://schemas.microsoft.com/office/drawing/2014/chart" uri="{C3380CC4-5D6E-409C-BE32-E72D297353CC}">
              <c16:uniqueId val="{00000003-F171-4A4E-B598-0CFB7FA5A4DC}"/>
            </c:ext>
          </c:extLst>
        </c:ser>
        <c:dLbls>
          <c:dLblPos val="outEnd"/>
          <c:showLegendKey val="0"/>
          <c:showVal val="1"/>
          <c:showCatName val="0"/>
          <c:showSerName val="0"/>
          <c:showPercent val="0"/>
          <c:showBubbleSize val="0"/>
        </c:dLbls>
        <c:gapWidth val="2"/>
        <c:overlap val="-27"/>
        <c:axId val="1334188591"/>
        <c:axId val="1414559023"/>
      </c:barChart>
      <c:catAx>
        <c:axId val="133418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59023"/>
        <c:crosses val="autoZero"/>
        <c:auto val="1"/>
        <c:lblAlgn val="ctr"/>
        <c:lblOffset val="100"/>
        <c:noMultiLvlLbl val="0"/>
      </c:catAx>
      <c:valAx>
        <c:axId val="141455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18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41910</xdr:rowOff>
    </xdr:from>
    <xdr:to>
      <xdr:col>2</xdr:col>
      <xdr:colOff>76200</xdr:colOff>
      <xdr:row>25</xdr:row>
      <xdr:rowOff>41910</xdr:rowOff>
    </xdr:to>
    <xdr:graphicFrame macro="">
      <xdr:nvGraphicFramePr>
        <xdr:cNvPr id="2" name="Chart 1">
          <a:extLst>
            <a:ext uri="{FF2B5EF4-FFF2-40B4-BE49-F238E27FC236}">
              <a16:creationId xmlns:a16="http://schemas.microsoft.com/office/drawing/2014/main" id="{44F9C490-485A-1857-5374-BD1AA079F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175260</xdr:colOff>
      <xdr:row>9</xdr:row>
      <xdr:rowOff>171450</xdr:rowOff>
    </xdr:from>
    <xdr:to>
      <xdr:col>4</xdr:col>
      <xdr:colOff>1699260</xdr:colOff>
      <xdr:row>24</xdr:row>
      <xdr:rowOff>171450</xdr:rowOff>
    </xdr:to>
    <xdr:graphicFrame macro="">
      <xdr:nvGraphicFramePr>
        <xdr:cNvPr id="3" name="Chart 2">
          <a:extLst>
            <a:ext uri="{FF2B5EF4-FFF2-40B4-BE49-F238E27FC236}">
              <a16:creationId xmlns:a16="http://schemas.microsoft.com/office/drawing/2014/main" id="{0179A38D-3C53-5050-29C3-DFB039FCB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53340</xdr:colOff>
      <xdr:row>10</xdr:row>
      <xdr:rowOff>156210</xdr:rowOff>
    </xdr:from>
    <xdr:to>
      <xdr:col>8</xdr:col>
      <xdr:colOff>1303020</xdr:colOff>
      <xdr:row>25</xdr:row>
      <xdr:rowOff>156210</xdr:rowOff>
    </xdr:to>
    <xdr:graphicFrame macro="">
      <xdr:nvGraphicFramePr>
        <xdr:cNvPr id="4" name="Chart 3">
          <a:extLst>
            <a:ext uri="{FF2B5EF4-FFF2-40B4-BE49-F238E27FC236}">
              <a16:creationId xmlns:a16="http://schemas.microsoft.com/office/drawing/2014/main" id="{351ED6C2-0375-D05D-9BE4-47B45E6FB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18</xdr:row>
      <xdr:rowOff>72390</xdr:rowOff>
    </xdr:from>
    <xdr:to>
      <xdr:col>17</xdr:col>
      <xdr:colOff>83820</xdr:colOff>
      <xdr:row>33</xdr:row>
      <xdr:rowOff>72390</xdr:rowOff>
    </xdr:to>
    <xdr:graphicFrame macro="">
      <xdr:nvGraphicFramePr>
        <xdr:cNvPr id="5" name="Chart 4">
          <a:extLst>
            <a:ext uri="{FF2B5EF4-FFF2-40B4-BE49-F238E27FC236}">
              <a16:creationId xmlns:a16="http://schemas.microsoft.com/office/drawing/2014/main" id="{C78B5B4D-31B3-2AE0-BF44-9187C517F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38100</xdr:rowOff>
    </xdr:from>
    <xdr:to>
      <xdr:col>18</xdr:col>
      <xdr:colOff>381000</xdr:colOff>
      <xdr:row>3</xdr:row>
      <xdr:rowOff>22860</xdr:rowOff>
    </xdr:to>
    <xdr:sp macro="" textlink="">
      <xdr:nvSpPr>
        <xdr:cNvPr id="2" name="Rectangle: Rounded Corners 1">
          <a:extLst>
            <a:ext uri="{FF2B5EF4-FFF2-40B4-BE49-F238E27FC236}">
              <a16:creationId xmlns:a16="http://schemas.microsoft.com/office/drawing/2014/main" id="{86A3E754-143E-6440-04B5-528100297D98}"/>
            </a:ext>
          </a:extLst>
        </xdr:cNvPr>
        <xdr:cNvSpPr/>
      </xdr:nvSpPr>
      <xdr:spPr>
        <a:xfrm>
          <a:off x="45720" y="38100"/>
          <a:ext cx="11308080" cy="5334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0</xdr:row>
      <xdr:rowOff>68580</xdr:rowOff>
    </xdr:from>
    <xdr:to>
      <xdr:col>14</xdr:col>
      <xdr:colOff>60960</xdr:colOff>
      <xdr:row>2</xdr:row>
      <xdr:rowOff>160020</xdr:rowOff>
    </xdr:to>
    <xdr:sp macro="" textlink="">
      <xdr:nvSpPr>
        <xdr:cNvPr id="3" name="TextBox 2">
          <a:extLst>
            <a:ext uri="{FF2B5EF4-FFF2-40B4-BE49-F238E27FC236}">
              <a16:creationId xmlns:a16="http://schemas.microsoft.com/office/drawing/2014/main" id="{736302B8-1FC6-372D-9922-0C6EB12BA43C}"/>
            </a:ext>
          </a:extLst>
        </xdr:cNvPr>
        <xdr:cNvSpPr txBox="1"/>
      </xdr:nvSpPr>
      <xdr:spPr>
        <a:xfrm>
          <a:off x="2095500" y="68580"/>
          <a:ext cx="64998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rPr>
            <a:t>Employees Performances</a:t>
          </a:r>
          <a:r>
            <a:rPr lang="en-IN" sz="2400" b="1" baseline="0">
              <a:solidFill>
                <a:srgbClr val="C00000"/>
              </a:solidFill>
            </a:rPr>
            <a:t> Analysis Dashboard</a:t>
          </a:r>
          <a:endParaRPr lang="en-IN" sz="2400" b="1">
            <a:solidFill>
              <a:srgbClr val="C00000"/>
            </a:solidFill>
          </a:endParaRPr>
        </a:p>
      </xdr:txBody>
    </xdr:sp>
    <xdr:clientData/>
  </xdr:twoCellAnchor>
  <xdr:twoCellAnchor>
    <xdr:from>
      <xdr:col>14</xdr:col>
      <xdr:colOff>182880</xdr:colOff>
      <xdr:row>3</xdr:row>
      <xdr:rowOff>114300</xdr:rowOff>
    </xdr:from>
    <xdr:to>
      <xdr:col>18</xdr:col>
      <xdr:colOff>327660</xdr:colOff>
      <xdr:row>6</xdr:row>
      <xdr:rowOff>99060</xdr:rowOff>
    </xdr:to>
    <xdr:sp macro="" textlink="">
      <xdr:nvSpPr>
        <xdr:cNvPr id="4" name="Rectangle: Rounded Corners 3">
          <a:extLst>
            <a:ext uri="{FF2B5EF4-FFF2-40B4-BE49-F238E27FC236}">
              <a16:creationId xmlns:a16="http://schemas.microsoft.com/office/drawing/2014/main" id="{7D31642B-67EE-1D42-A5EB-4A40BC92E2CC}"/>
            </a:ext>
          </a:extLst>
        </xdr:cNvPr>
        <xdr:cNvSpPr/>
      </xdr:nvSpPr>
      <xdr:spPr>
        <a:xfrm>
          <a:off x="8717280" y="662940"/>
          <a:ext cx="2583180" cy="5334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106680</xdr:colOff>
      <xdr:row>7</xdr:row>
      <xdr:rowOff>7620</xdr:rowOff>
    </xdr:from>
    <xdr:to>
      <xdr:col>41</xdr:col>
      <xdr:colOff>251460</xdr:colOff>
      <xdr:row>9</xdr:row>
      <xdr:rowOff>175260</xdr:rowOff>
    </xdr:to>
    <xdr:sp macro="" textlink="">
      <xdr:nvSpPr>
        <xdr:cNvPr id="5" name="Rectangle: Rounded Corners 4">
          <a:extLst>
            <a:ext uri="{FF2B5EF4-FFF2-40B4-BE49-F238E27FC236}">
              <a16:creationId xmlns:a16="http://schemas.microsoft.com/office/drawing/2014/main" id="{DDBC93AA-217A-4F14-BB9C-714A79479486}"/>
            </a:ext>
          </a:extLst>
        </xdr:cNvPr>
        <xdr:cNvSpPr/>
      </xdr:nvSpPr>
      <xdr:spPr>
        <a:xfrm>
          <a:off x="22661880" y="1287780"/>
          <a:ext cx="2583180" cy="5334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281940</xdr:colOff>
      <xdr:row>3</xdr:row>
      <xdr:rowOff>99060</xdr:rowOff>
    </xdr:from>
    <xdr:to>
      <xdr:col>13</xdr:col>
      <xdr:colOff>426720</xdr:colOff>
      <xdr:row>6</xdr:row>
      <xdr:rowOff>83820</xdr:rowOff>
    </xdr:to>
    <xdr:sp macro="" textlink="">
      <xdr:nvSpPr>
        <xdr:cNvPr id="6" name="Rectangle: Rounded Corners 5">
          <a:extLst>
            <a:ext uri="{FF2B5EF4-FFF2-40B4-BE49-F238E27FC236}">
              <a16:creationId xmlns:a16="http://schemas.microsoft.com/office/drawing/2014/main" id="{B0EF3174-C889-A863-65C8-37364004EF62}"/>
            </a:ext>
          </a:extLst>
        </xdr:cNvPr>
        <xdr:cNvSpPr/>
      </xdr:nvSpPr>
      <xdr:spPr>
        <a:xfrm>
          <a:off x="5768340" y="647700"/>
          <a:ext cx="2583180" cy="5334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434340</xdr:colOff>
      <xdr:row>3</xdr:row>
      <xdr:rowOff>114300</xdr:rowOff>
    </xdr:from>
    <xdr:to>
      <xdr:col>8</xdr:col>
      <xdr:colOff>579120</xdr:colOff>
      <xdr:row>6</xdr:row>
      <xdr:rowOff>99060</xdr:rowOff>
    </xdr:to>
    <xdr:sp macro="" textlink="">
      <xdr:nvSpPr>
        <xdr:cNvPr id="7" name="Rectangle: Rounded Corners 6">
          <a:extLst>
            <a:ext uri="{FF2B5EF4-FFF2-40B4-BE49-F238E27FC236}">
              <a16:creationId xmlns:a16="http://schemas.microsoft.com/office/drawing/2014/main" id="{CA42591F-3C8D-B70B-BAF9-C481BE0A790D}"/>
            </a:ext>
          </a:extLst>
        </xdr:cNvPr>
        <xdr:cNvSpPr/>
      </xdr:nvSpPr>
      <xdr:spPr>
        <a:xfrm>
          <a:off x="2872740" y="662940"/>
          <a:ext cx="2583180" cy="5334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3</xdr:row>
      <xdr:rowOff>99060</xdr:rowOff>
    </xdr:from>
    <xdr:to>
      <xdr:col>4</xdr:col>
      <xdr:colOff>220980</xdr:colOff>
      <xdr:row>6</xdr:row>
      <xdr:rowOff>83820</xdr:rowOff>
    </xdr:to>
    <xdr:sp macro="" textlink="">
      <xdr:nvSpPr>
        <xdr:cNvPr id="8" name="Rectangle: Rounded Corners 7">
          <a:extLst>
            <a:ext uri="{FF2B5EF4-FFF2-40B4-BE49-F238E27FC236}">
              <a16:creationId xmlns:a16="http://schemas.microsoft.com/office/drawing/2014/main" id="{F47E7E76-3D7A-88F2-92B4-FB68452D2380}"/>
            </a:ext>
          </a:extLst>
        </xdr:cNvPr>
        <xdr:cNvSpPr/>
      </xdr:nvSpPr>
      <xdr:spPr>
        <a:xfrm>
          <a:off x="76200" y="647700"/>
          <a:ext cx="2583180" cy="5334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563880</xdr:colOff>
      <xdr:row>3</xdr:row>
      <xdr:rowOff>91440</xdr:rowOff>
    </xdr:from>
    <xdr:to>
      <xdr:col>3</xdr:col>
      <xdr:colOff>91440</xdr:colOff>
      <xdr:row>4</xdr:row>
      <xdr:rowOff>160020</xdr:rowOff>
    </xdr:to>
    <xdr:sp macro="" textlink="">
      <xdr:nvSpPr>
        <xdr:cNvPr id="9" name="TextBox 8">
          <a:extLst>
            <a:ext uri="{FF2B5EF4-FFF2-40B4-BE49-F238E27FC236}">
              <a16:creationId xmlns:a16="http://schemas.microsoft.com/office/drawing/2014/main" id="{F45D7E4A-5695-508A-27C3-B801A03A0307}"/>
            </a:ext>
          </a:extLst>
        </xdr:cNvPr>
        <xdr:cNvSpPr txBox="1"/>
      </xdr:nvSpPr>
      <xdr:spPr>
        <a:xfrm>
          <a:off x="563880" y="640080"/>
          <a:ext cx="1356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Employees</a:t>
          </a:r>
        </a:p>
      </xdr:txBody>
    </xdr:sp>
    <xdr:clientData/>
  </xdr:twoCellAnchor>
  <xdr:twoCellAnchor>
    <xdr:from>
      <xdr:col>5</xdr:col>
      <xdr:colOff>464820</xdr:colOff>
      <xdr:row>3</xdr:row>
      <xdr:rowOff>99060</xdr:rowOff>
    </xdr:from>
    <xdr:to>
      <xdr:col>7</xdr:col>
      <xdr:colOff>601980</xdr:colOff>
      <xdr:row>4</xdr:row>
      <xdr:rowOff>167640</xdr:rowOff>
    </xdr:to>
    <xdr:sp macro="" textlink="">
      <xdr:nvSpPr>
        <xdr:cNvPr id="10" name="TextBox 9">
          <a:extLst>
            <a:ext uri="{FF2B5EF4-FFF2-40B4-BE49-F238E27FC236}">
              <a16:creationId xmlns:a16="http://schemas.microsoft.com/office/drawing/2014/main" id="{26D1E9B7-9B85-9D2E-9888-EE641E5CE84B}"/>
            </a:ext>
          </a:extLst>
        </xdr:cNvPr>
        <xdr:cNvSpPr txBox="1"/>
      </xdr:nvSpPr>
      <xdr:spPr>
        <a:xfrm>
          <a:off x="3512820" y="647700"/>
          <a:ext cx="1356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Employees</a:t>
          </a:r>
        </a:p>
      </xdr:txBody>
    </xdr:sp>
    <xdr:clientData/>
  </xdr:twoCellAnchor>
  <xdr:twoCellAnchor>
    <xdr:from>
      <xdr:col>10</xdr:col>
      <xdr:colOff>464820</xdr:colOff>
      <xdr:row>3</xdr:row>
      <xdr:rowOff>91440</xdr:rowOff>
    </xdr:from>
    <xdr:to>
      <xdr:col>12</xdr:col>
      <xdr:colOff>601980</xdr:colOff>
      <xdr:row>4</xdr:row>
      <xdr:rowOff>160020</xdr:rowOff>
    </xdr:to>
    <xdr:sp macro="" textlink="">
      <xdr:nvSpPr>
        <xdr:cNvPr id="11" name="TextBox 10">
          <a:extLst>
            <a:ext uri="{FF2B5EF4-FFF2-40B4-BE49-F238E27FC236}">
              <a16:creationId xmlns:a16="http://schemas.microsoft.com/office/drawing/2014/main" id="{6F5E29A5-C35B-6271-AF13-E4F4743F1C49}"/>
            </a:ext>
          </a:extLst>
        </xdr:cNvPr>
        <xdr:cNvSpPr txBox="1"/>
      </xdr:nvSpPr>
      <xdr:spPr>
        <a:xfrm>
          <a:off x="6560820" y="640080"/>
          <a:ext cx="1356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Employees</a:t>
          </a:r>
        </a:p>
      </xdr:txBody>
    </xdr:sp>
    <xdr:clientData/>
  </xdr:twoCellAnchor>
  <xdr:twoCellAnchor>
    <xdr:from>
      <xdr:col>15</xdr:col>
      <xdr:colOff>464820</xdr:colOff>
      <xdr:row>3</xdr:row>
      <xdr:rowOff>144780</xdr:rowOff>
    </xdr:from>
    <xdr:to>
      <xdr:col>17</xdr:col>
      <xdr:colOff>601980</xdr:colOff>
      <xdr:row>5</xdr:row>
      <xdr:rowOff>30480</xdr:rowOff>
    </xdr:to>
    <xdr:sp macro="" textlink="">
      <xdr:nvSpPr>
        <xdr:cNvPr id="12" name="TextBox 11">
          <a:extLst>
            <a:ext uri="{FF2B5EF4-FFF2-40B4-BE49-F238E27FC236}">
              <a16:creationId xmlns:a16="http://schemas.microsoft.com/office/drawing/2014/main" id="{AD49AFE1-8A7C-BD59-F527-D4D71748E2AF}"/>
            </a:ext>
          </a:extLst>
        </xdr:cNvPr>
        <xdr:cNvSpPr txBox="1"/>
      </xdr:nvSpPr>
      <xdr:spPr>
        <a:xfrm>
          <a:off x="9608820" y="693420"/>
          <a:ext cx="1356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Employees</a:t>
          </a:r>
        </a:p>
      </xdr:txBody>
    </xdr:sp>
    <xdr:clientData/>
  </xdr:twoCellAnchor>
  <xdr:twoCellAnchor>
    <xdr:from>
      <xdr:col>1</xdr:col>
      <xdr:colOff>396240</xdr:colOff>
      <xdr:row>4</xdr:row>
      <xdr:rowOff>160020</xdr:rowOff>
    </xdr:from>
    <xdr:to>
      <xdr:col>3</xdr:col>
      <xdr:colOff>533400</xdr:colOff>
      <xdr:row>6</xdr:row>
      <xdr:rowOff>45720</xdr:rowOff>
    </xdr:to>
    <xdr:sp macro="" textlink="Pivot!T5">
      <xdr:nvSpPr>
        <xdr:cNvPr id="13" name="TextBox 12">
          <a:extLst>
            <a:ext uri="{FF2B5EF4-FFF2-40B4-BE49-F238E27FC236}">
              <a16:creationId xmlns:a16="http://schemas.microsoft.com/office/drawing/2014/main" id="{F500EE63-343F-D243-AD9F-DF7E56335F18}"/>
            </a:ext>
          </a:extLst>
        </xdr:cNvPr>
        <xdr:cNvSpPr txBox="1"/>
      </xdr:nvSpPr>
      <xdr:spPr>
        <a:xfrm>
          <a:off x="1005840" y="891540"/>
          <a:ext cx="1356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8CB6C7-F621-4C76-AEAB-449D4B5A8972}" type="TxLink">
            <a:rPr lang="en-US" sz="1400" b="1" i="0" u="none" strike="noStrike">
              <a:solidFill>
                <a:srgbClr val="C00000"/>
              </a:solidFill>
              <a:latin typeface="Calibri"/>
              <a:ea typeface="Calibri"/>
              <a:cs typeface="Calibri"/>
            </a:rPr>
            <a:t>12</a:t>
          </a:fld>
          <a:endParaRPr lang="en-IN" sz="1400" b="1">
            <a:solidFill>
              <a:srgbClr val="C00000"/>
            </a:solidFill>
          </a:endParaRPr>
        </a:p>
      </xdr:txBody>
    </xdr:sp>
    <xdr:clientData/>
  </xdr:twoCellAnchor>
  <xdr:twoCellAnchor>
    <xdr:from>
      <xdr:col>6</xdr:col>
      <xdr:colOff>274320</xdr:colOff>
      <xdr:row>4</xdr:row>
      <xdr:rowOff>175260</xdr:rowOff>
    </xdr:from>
    <xdr:to>
      <xdr:col>8</xdr:col>
      <xdr:colOff>411480</xdr:colOff>
      <xdr:row>6</xdr:row>
      <xdr:rowOff>60960</xdr:rowOff>
    </xdr:to>
    <xdr:sp macro="" textlink="Pivot!U5">
      <xdr:nvSpPr>
        <xdr:cNvPr id="14" name="TextBox 13">
          <a:extLst>
            <a:ext uri="{FF2B5EF4-FFF2-40B4-BE49-F238E27FC236}">
              <a16:creationId xmlns:a16="http://schemas.microsoft.com/office/drawing/2014/main" id="{F6724C09-11A1-6EBF-2ED6-56280026611E}"/>
            </a:ext>
          </a:extLst>
        </xdr:cNvPr>
        <xdr:cNvSpPr txBox="1"/>
      </xdr:nvSpPr>
      <xdr:spPr>
        <a:xfrm>
          <a:off x="3931920" y="906780"/>
          <a:ext cx="1356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95A04B-62B8-4575-8A24-0B7118F7DE0B}" type="TxLink">
            <a:rPr lang="en-US" sz="1400" b="1" i="0" u="none" strike="noStrike">
              <a:solidFill>
                <a:srgbClr val="C00000"/>
              </a:solidFill>
              <a:latin typeface="Calibri"/>
              <a:ea typeface="Calibri"/>
              <a:cs typeface="Calibri"/>
            </a:rPr>
            <a:t>83</a:t>
          </a:fld>
          <a:endParaRPr lang="en-IN" sz="1400" b="1">
            <a:solidFill>
              <a:srgbClr val="C00000"/>
            </a:solidFill>
          </a:endParaRPr>
        </a:p>
      </xdr:txBody>
    </xdr:sp>
    <xdr:clientData/>
  </xdr:twoCellAnchor>
  <xdr:twoCellAnchor>
    <xdr:from>
      <xdr:col>11</xdr:col>
      <xdr:colOff>190500</xdr:colOff>
      <xdr:row>4</xdr:row>
      <xdr:rowOff>167640</xdr:rowOff>
    </xdr:from>
    <xdr:to>
      <xdr:col>13</xdr:col>
      <xdr:colOff>327660</xdr:colOff>
      <xdr:row>6</xdr:row>
      <xdr:rowOff>53340</xdr:rowOff>
    </xdr:to>
    <xdr:sp macro="" textlink="Pivot!V5">
      <xdr:nvSpPr>
        <xdr:cNvPr id="15" name="TextBox 14">
          <a:extLst>
            <a:ext uri="{FF2B5EF4-FFF2-40B4-BE49-F238E27FC236}">
              <a16:creationId xmlns:a16="http://schemas.microsoft.com/office/drawing/2014/main" id="{B10F3AAD-C805-94EA-8094-00BD37C41477}"/>
            </a:ext>
          </a:extLst>
        </xdr:cNvPr>
        <xdr:cNvSpPr txBox="1"/>
      </xdr:nvSpPr>
      <xdr:spPr>
        <a:xfrm>
          <a:off x="6896100" y="899160"/>
          <a:ext cx="1356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00868E-6067-4663-8883-95C2BC746C60}" type="TxLink">
            <a:rPr lang="en-US" sz="1400" b="1" i="0" u="none" strike="noStrike">
              <a:solidFill>
                <a:srgbClr val="C00000"/>
              </a:solidFill>
              <a:latin typeface="Calibri"/>
              <a:ea typeface="Calibri"/>
              <a:cs typeface="Calibri"/>
            </a:rPr>
            <a:t>354</a:t>
          </a:fld>
          <a:endParaRPr lang="en-IN" sz="1400" b="1">
            <a:solidFill>
              <a:srgbClr val="C00000"/>
            </a:solidFill>
          </a:endParaRPr>
        </a:p>
      </xdr:txBody>
    </xdr:sp>
    <xdr:clientData/>
  </xdr:twoCellAnchor>
  <xdr:twoCellAnchor>
    <xdr:from>
      <xdr:col>16</xdr:col>
      <xdr:colOff>137160</xdr:colOff>
      <xdr:row>5</xdr:row>
      <xdr:rowOff>0</xdr:rowOff>
    </xdr:from>
    <xdr:to>
      <xdr:col>18</xdr:col>
      <xdr:colOff>274320</xdr:colOff>
      <xdr:row>6</xdr:row>
      <xdr:rowOff>68580</xdr:rowOff>
    </xdr:to>
    <xdr:sp macro="" textlink="Pivot!W5">
      <xdr:nvSpPr>
        <xdr:cNvPr id="16" name="TextBox 15">
          <a:extLst>
            <a:ext uri="{FF2B5EF4-FFF2-40B4-BE49-F238E27FC236}">
              <a16:creationId xmlns:a16="http://schemas.microsoft.com/office/drawing/2014/main" id="{18E48E91-74E8-5FB0-5513-FF8FE45DB39A}"/>
            </a:ext>
          </a:extLst>
        </xdr:cNvPr>
        <xdr:cNvSpPr txBox="1"/>
      </xdr:nvSpPr>
      <xdr:spPr>
        <a:xfrm>
          <a:off x="9890760" y="914400"/>
          <a:ext cx="1356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A4A040-9D65-4FA7-8A4E-0900533E113F}" type="TxLink">
            <a:rPr lang="en-US" sz="1400" b="1" i="0" u="none" strike="noStrike">
              <a:solidFill>
                <a:srgbClr val="C00000"/>
              </a:solidFill>
              <a:latin typeface="Calibri"/>
              <a:ea typeface="Calibri"/>
              <a:cs typeface="Calibri"/>
            </a:rPr>
            <a:t>88.67</a:t>
          </a:fld>
          <a:endParaRPr lang="en-IN" sz="1400" b="1">
            <a:solidFill>
              <a:srgbClr val="C00000"/>
            </a:solidFill>
          </a:endParaRPr>
        </a:p>
      </xdr:txBody>
    </xdr:sp>
    <xdr:clientData/>
  </xdr:twoCellAnchor>
  <xdr:twoCellAnchor>
    <xdr:from>
      <xdr:col>0</xdr:col>
      <xdr:colOff>91440</xdr:colOff>
      <xdr:row>6</xdr:row>
      <xdr:rowOff>160020</xdr:rowOff>
    </xdr:from>
    <xdr:to>
      <xdr:col>6</xdr:col>
      <xdr:colOff>601980</xdr:colOff>
      <xdr:row>20</xdr:row>
      <xdr:rowOff>137160</xdr:rowOff>
    </xdr:to>
    <xdr:graphicFrame macro="">
      <xdr:nvGraphicFramePr>
        <xdr:cNvPr id="17" name="Chart 16">
          <a:extLst>
            <a:ext uri="{FF2B5EF4-FFF2-40B4-BE49-F238E27FC236}">
              <a16:creationId xmlns:a16="http://schemas.microsoft.com/office/drawing/2014/main" id="{ED57CC57-CB2C-41D6-ADE9-03825A48A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68580</xdr:colOff>
      <xdr:row>6</xdr:row>
      <xdr:rowOff>144780</xdr:rowOff>
    </xdr:from>
    <xdr:to>
      <xdr:col>14</xdr:col>
      <xdr:colOff>365760</xdr:colOff>
      <xdr:row>20</xdr:row>
      <xdr:rowOff>137160</xdr:rowOff>
    </xdr:to>
    <xdr:graphicFrame macro="">
      <xdr:nvGraphicFramePr>
        <xdr:cNvPr id="18" name="Chart 17">
          <a:extLst>
            <a:ext uri="{FF2B5EF4-FFF2-40B4-BE49-F238E27FC236}">
              <a16:creationId xmlns:a16="http://schemas.microsoft.com/office/drawing/2014/main" id="{EE0BB640-FD29-416B-8315-353C61506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20</xdr:row>
      <xdr:rowOff>167640</xdr:rowOff>
    </xdr:from>
    <xdr:to>
      <xdr:col>5</xdr:col>
      <xdr:colOff>388620</xdr:colOff>
      <xdr:row>34</xdr:row>
      <xdr:rowOff>83820</xdr:rowOff>
    </xdr:to>
    <xdr:graphicFrame macro="">
      <xdr:nvGraphicFramePr>
        <xdr:cNvPr id="19" name="Chart 18">
          <a:extLst>
            <a:ext uri="{FF2B5EF4-FFF2-40B4-BE49-F238E27FC236}">
              <a16:creationId xmlns:a16="http://schemas.microsoft.com/office/drawing/2014/main" id="{DA97C2EB-2ABF-41CF-B571-78B8A0F13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464820</xdr:colOff>
      <xdr:row>21</xdr:row>
      <xdr:rowOff>7620</xdr:rowOff>
    </xdr:from>
    <xdr:to>
      <xdr:col>14</xdr:col>
      <xdr:colOff>350520</xdr:colOff>
      <xdr:row>34</xdr:row>
      <xdr:rowOff>99060</xdr:rowOff>
    </xdr:to>
    <xdr:graphicFrame macro="">
      <xdr:nvGraphicFramePr>
        <xdr:cNvPr id="20" name="Chart 19">
          <a:extLst>
            <a:ext uri="{FF2B5EF4-FFF2-40B4-BE49-F238E27FC236}">
              <a16:creationId xmlns:a16="http://schemas.microsoft.com/office/drawing/2014/main" id="{56AA0092-0049-4525-B570-B337C96A4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472440</xdr:colOff>
      <xdr:row>25</xdr:row>
      <xdr:rowOff>99061</xdr:rowOff>
    </xdr:from>
    <xdr:to>
      <xdr:col>18</xdr:col>
      <xdr:colOff>259080</xdr:colOff>
      <xdr:row>34</xdr:row>
      <xdr:rowOff>68580</xdr:rowOff>
    </xdr:to>
    <mc:AlternateContent xmlns:mc="http://schemas.openxmlformats.org/markup-compatibility/2006">
      <mc:Choice xmlns:a14="http://schemas.microsoft.com/office/drawing/2010/main" Requires="a14">
        <xdr:graphicFrame macro="">
          <xdr:nvGraphicFramePr>
            <xdr:cNvPr id="22" name="Location">
              <a:extLst>
                <a:ext uri="{FF2B5EF4-FFF2-40B4-BE49-F238E27FC236}">
                  <a16:creationId xmlns:a16="http://schemas.microsoft.com/office/drawing/2014/main" id="{E96ED78F-4267-6F2B-CBBB-AAC18974859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006840" y="4671061"/>
              <a:ext cx="2225040" cy="1615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480060</xdr:colOff>
      <xdr:row>6</xdr:row>
      <xdr:rowOff>144780</xdr:rowOff>
    </xdr:from>
    <xdr:to>
      <xdr:col>18</xdr:col>
      <xdr:colOff>259080</xdr:colOff>
      <xdr:row>25</xdr:row>
      <xdr:rowOff>7620</xdr:rowOff>
    </xdr:to>
    <mc:AlternateContent xmlns:mc="http://schemas.openxmlformats.org/markup-compatibility/2006">
      <mc:Choice xmlns:a14="http://schemas.microsoft.com/office/drawing/2010/main" Requires="a14">
        <xdr:graphicFrame macro="">
          <xdr:nvGraphicFramePr>
            <xdr:cNvPr id="23" name="Month">
              <a:extLst>
                <a:ext uri="{FF2B5EF4-FFF2-40B4-BE49-F238E27FC236}">
                  <a16:creationId xmlns:a16="http://schemas.microsoft.com/office/drawing/2014/main" id="{9AED84E1-C7CA-F5A2-77F1-523D183411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014460" y="1242060"/>
              <a:ext cx="2217420" cy="3337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5.555848379627" createdVersion="8" refreshedVersion="8" minRefreshableVersion="3" recordCount="12" xr:uid="{2F481A0A-22F1-4D13-B046-0E994892681B}">
  <cacheSource type="worksheet">
    <worksheetSource name="Table1"/>
  </cacheSource>
  <cacheFields count="9">
    <cacheField name="Employee ID" numFmtId="0">
      <sharedItems count="12">
        <s v="E001"/>
        <s v="E002"/>
        <s v="E003"/>
        <s v="E004"/>
        <s v="E005"/>
        <s v="E006"/>
        <s v="E007"/>
        <s v="E008"/>
        <s v="E009"/>
        <s v="E010"/>
        <s v="E011"/>
        <s v="E012"/>
      </sharedItems>
    </cacheField>
    <cacheField name="Employee Name" numFmtId="0">
      <sharedItems count="12">
        <s v="Amit"/>
        <s v="Neha"/>
        <s v="Riya"/>
        <s v="Rahul"/>
        <s v="Priya"/>
        <s v="Vikas"/>
        <s v="Sneha"/>
        <s v="Arjun"/>
        <s v="Karan"/>
        <s v="Pooja"/>
        <s v="Rohit"/>
        <s v="Anjali"/>
      </sharedItems>
    </cacheField>
    <cacheField name="Department" numFmtId="0">
      <sharedItems count="4">
        <s v="IT"/>
        <s v="HR"/>
        <s v="Finance"/>
        <s v="Marketing"/>
      </sharedItems>
    </cacheField>
    <cacheField name="Location" numFmtId="0">
      <sharedItems count="6">
        <s v="Delhi"/>
        <s v="Mumbai"/>
        <s v="Bengaluru"/>
        <s v="Hyderabad"/>
        <s v="Pune"/>
        <s v="Chennai"/>
      </sharedItems>
    </cacheField>
    <cacheField name="Joining Date" numFmtId="0">
      <sharedItems/>
    </cacheField>
    <cacheField name="Projects Completed" numFmtId="0">
      <sharedItems containsSemiMixedTypes="0" containsString="0" containsNumber="1" containsInteger="1" minValue="3" maxValue="11"/>
    </cacheField>
    <cacheField name="Performance Score" numFmtId="0">
      <sharedItems containsSemiMixedTypes="0" containsString="0" containsNumber="1" containsInteger="1" minValue="80" maxValue="96"/>
    </cacheField>
    <cacheField name="Training Hours" numFmtId="0">
      <sharedItems containsSemiMixedTypes="0" containsString="0" containsNumber="1" containsInteger="1" minValue="15" maxValue="45"/>
    </cacheField>
    <cacheField name="Month" numFmtId="0">
      <sharedItems count="11">
        <s v="Jan"/>
        <s v="Nov"/>
        <s v="Feb"/>
        <s v="Aug"/>
        <s v="Mar"/>
        <s v="Dec"/>
        <s v="Apr"/>
        <s v="Sep"/>
        <s v="May"/>
        <s v="Oct"/>
        <s v="Jun"/>
      </sharedItems>
    </cacheField>
  </cacheFields>
  <extLst>
    <ext xmlns:x14="http://schemas.microsoft.com/office/spreadsheetml/2009/9/main" uri="{725AE2AE-9491-48be-B2B4-4EB974FC3084}">
      <x14:pivotCacheDefinition pivotCacheId="15480273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s v="2024-01-15"/>
    <n v="8"/>
    <n v="92"/>
    <n v="35"/>
    <x v="0"/>
  </r>
  <r>
    <x v="1"/>
    <x v="1"/>
    <x v="1"/>
    <x v="1"/>
    <s v="2023-11-20"/>
    <n v="5"/>
    <n v="88"/>
    <n v="28"/>
    <x v="1"/>
  </r>
  <r>
    <x v="2"/>
    <x v="2"/>
    <x v="2"/>
    <x v="2"/>
    <s v="2024-02-10"/>
    <n v="7"/>
    <n v="90"/>
    <n v="32"/>
    <x v="2"/>
  </r>
  <r>
    <x v="3"/>
    <x v="3"/>
    <x v="0"/>
    <x v="3"/>
    <s v="2023-08-18"/>
    <n v="10"/>
    <n v="95"/>
    <n v="40"/>
    <x v="3"/>
  </r>
  <r>
    <x v="4"/>
    <x v="4"/>
    <x v="3"/>
    <x v="4"/>
    <s v="2024-03-05"/>
    <n v="6"/>
    <n v="84"/>
    <n v="22"/>
    <x v="4"/>
  </r>
  <r>
    <x v="5"/>
    <x v="5"/>
    <x v="2"/>
    <x v="0"/>
    <s v="2023-12-12"/>
    <n v="9"/>
    <n v="91"/>
    <n v="30"/>
    <x v="5"/>
  </r>
  <r>
    <x v="6"/>
    <x v="6"/>
    <x v="1"/>
    <x v="5"/>
    <s v="2024-04-01"/>
    <n v="4"/>
    <n v="82"/>
    <n v="18"/>
    <x v="6"/>
  </r>
  <r>
    <x v="7"/>
    <x v="7"/>
    <x v="3"/>
    <x v="1"/>
    <s v="2023-09-27"/>
    <n v="11"/>
    <n v="96"/>
    <n v="45"/>
    <x v="7"/>
  </r>
  <r>
    <x v="8"/>
    <x v="8"/>
    <x v="0"/>
    <x v="2"/>
    <s v="2024-05-14"/>
    <n v="5"/>
    <n v="87"/>
    <n v="26"/>
    <x v="8"/>
  </r>
  <r>
    <x v="9"/>
    <x v="9"/>
    <x v="2"/>
    <x v="4"/>
    <s v="2023-10-30"/>
    <n v="8"/>
    <n v="89"/>
    <n v="34"/>
    <x v="9"/>
  </r>
  <r>
    <x v="10"/>
    <x v="10"/>
    <x v="3"/>
    <x v="0"/>
    <s v="2024-01-25"/>
    <n v="7"/>
    <n v="90"/>
    <n v="29"/>
    <x v="0"/>
  </r>
  <r>
    <x v="11"/>
    <x v="11"/>
    <x v="1"/>
    <x v="3"/>
    <s v="2024-06-02"/>
    <n v="3"/>
    <n v="80"/>
    <n v="15"/>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EA2494-B58B-48F5-82FC-7522F7E0FD35}" name="PivotTable1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4:W5" firstHeaderRow="0" firstDataRow="1" firstDataCol="0"/>
  <pivotFields count="9">
    <pivotField showAll="0">
      <items count="13">
        <item x="0"/>
        <item x="1"/>
        <item x="2"/>
        <item x="3"/>
        <item x="4"/>
        <item x="5"/>
        <item x="6"/>
        <item x="7"/>
        <item x="8"/>
        <item x="9"/>
        <item x="10"/>
        <item x="11"/>
        <item t="default"/>
      </items>
    </pivotField>
    <pivotField dataField="1" showAll="0">
      <items count="13">
        <item x="0"/>
        <item x="11"/>
        <item x="7"/>
        <item x="8"/>
        <item x="1"/>
        <item x="9"/>
        <item x="4"/>
        <item x="3"/>
        <item x="2"/>
        <item x="10"/>
        <item x="6"/>
        <item x="5"/>
        <item t="default"/>
      </items>
    </pivotField>
    <pivotField showAll="0">
      <items count="5">
        <item x="2"/>
        <item x="1"/>
        <item x="0"/>
        <item x="3"/>
        <item t="default"/>
      </items>
    </pivotField>
    <pivotField showAll="0">
      <items count="7">
        <item x="2"/>
        <item x="5"/>
        <item x="0"/>
        <item x="3"/>
        <item x="1"/>
        <item x="4"/>
        <item t="default"/>
      </items>
    </pivotField>
    <pivotField showAll="0"/>
    <pivotField dataField="1" showAll="0"/>
    <pivotField dataField="1" showAll="0"/>
    <pivotField dataField="1" showAll="0"/>
    <pivotField showAll="0">
      <items count="12">
        <item x="0"/>
        <item x="2"/>
        <item x="4"/>
        <item x="6"/>
        <item x="8"/>
        <item x="10"/>
        <item x="3"/>
        <item x="7"/>
        <item x="9"/>
        <item x="1"/>
        <item x="5"/>
        <item t="default"/>
      </items>
    </pivotField>
  </pivotFields>
  <rowItems count="1">
    <i/>
  </rowItems>
  <colFields count="1">
    <field x="-2"/>
  </colFields>
  <colItems count="4">
    <i>
      <x/>
    </i>
    <i i="1">
      <x v="1"/>
    </i>
    <i i="2">
      <x v="2"/>
    </i>
    <i i="3">
      <x v="3"/>
    </i>
  </colItems>
  <dataFields count="4">
    <dataField name="Count of Employee Name" fld="1" subtotal="count" baseField="0" baseItem="0"/>
    <dataField name="Sum of Projects Completed" fld="5" baseField="0" baseItem="0"/>
    <dataField name="Sum of Training Hours" fld="7" baseField="0" baseItem="0"/>
    <dataField name="Average of Performance Score" fld="6" subtotal="average" baseField="0" baseItem="1" numFmtId="2"/>
  </dataFields>
  <formats count="1">
    <format dxfId="0">
      <pivotArea outline="0" collapsedLevelsAreSubtotals="1" fieldPosition="0">
        <references count="1">
          <reference field="4294967294" count="1" selected="0">
            <x v="3"/>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870F56-47FB-4D85-BEA4-4D7A006D28DE}" name="PivotTable1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4:Q17" firstHeaderRow="1" firstDataRow="2" firstDataCol="1"/>
  <pivotFields count="9">
    <pivotField showAll="0">
      <items count="13">
        <item x="0"/>
        <item x="1"/>
        <item x="2"/>
        <item x="3"/>
        <item x="4"/>
        <item x="5"/>
        <item x="6"/>
        <item x="7"/>
        <item x="8"/>
        <item x="9"/>
        <item x="10"/>
        <item x="11"/>
        <item t="default"/>
      </items>
    </pivotField>
    <pivotField showAll="0">
      <items count="13">
        <item x="0"/>
        <item x="11"/>
        <item x="7"/>
        <item x="8"/>
        <item x="1"/>
        <item x="9"/>
        <item x="4"/>
        <item x="3"/>
        <item x="2"/>
        <item x="10"/>
        <item x="6"/>
        <item x="5"/>
        <item t="default"/>
      </items>
    </pivotField>
    <pivotField axis="axisCol" showAll="0">
      <items count="5">
        <item x="2"/>
        <item x="1"/>
        <item x="0"/>
        <item x="3"/>
        <item t="default"/>
      </items>
    </pivotField>
    <pivotField showAll="0">
      <items count="7">
        <item x="2"/>
        <item x="5"/>
        <item x="0"/>
        <item x="3"/>
        <item x="1"/>
        <item x="4"/>
        <item t="default"/>
      </items>
    </pivotField>
    <pivotField showAll="0"/>
    <pivotField dataField="1" showAll="0"/>
    <pivotField showAll="0"/>
    <pivotField showAll="0"/>
    <pivotField axis="axisRow" showAll="0">
      <items count="12">
        <item x="0"/>
        <item x="2"/>
        <item x="4"/>
        <item x="6"/>
        <item x="8"/>
        <item x="10"/>
        <item x="3"/>
        <item x="7"/>
        <item x="9"/>
        <item x="1"/>
        <item x="5"/>
        <item t="default"/>
      </items>
    </pivotField>
  </pivotFields>
  <rowFields count="1">
    <field x="8"/>
  </rowFields>
  <rowItems count="12">
    <i>
      <x/>
    </i>
    <i>
      <x v="1"/>
    </i>
    <i>
      <x v="2"/>
    </i>
    <i>
      <x v="3"/>
    </i>
    <i>
      <x v="4"/>
    </i>
    <i>
      <x v="5"/>
    </i>
    <i>
      <x v="6"/>
    </i>
    <i>
      <x v="7"/>
    </i>
    <i>
      <x v="8"/>
    </i>
    <i>
      <x v="9"/>
    </i>
    <i>
      <x v="10"/>
    </i>
    <i t="grand">
      <x/>
    </i>
  </rowItems>
  <colFields count="1">
    <field x="2"/>
  </colFields>
  <colItems count="5">
    <i>
      <x/>
    </i>
    <i>
      <x v="1"/>
    </i>
    <i>
      <x v="2"/>
    </i>
    <i>
      <x v="3"/>
    </i>
    <i t="grand">
      <x/>
    </i>
  </colItems>
  <dataFields count="1">
    <dataField name="Sum of Projects Completed" fld="5" baseField="0" baseItem="0"/>
  </dataFields>
  <chartFormats count="8">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1E191-EC96-4BE8-9330-9CC4434FE99E}" name="PivotTable1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10" firstHeaderRow="1" firstDataRow="1" firstDataCol="1"/>
  <pivotFields count="9">
    <pivotField showAll="0">
      <items count="13">
        <item x="0"/>
        <item x="1"/>
        <item x="2"/>
        <item x="3"/>
        <item x="4"/>
        <item x="5"/>
        <item x="6"/>
        <item x="7"/>
        <item x="8"/>
        <item x="9"/>
        <item x="10"/>
        <item x="11"/>
        <item t="default"/>
      </items>
    </pivotField>
    <pivotField dataField="1" showAll="0">
      <items count="13">
        <item x="0"/>
        <item x="11"/>
        <item x="7"/>
        <item x="8"/>
        <item x="1"/>
        <item x="9"/>
        <item x="4"/>
        <item x="3"/>
        <item x="2"/>
        <item x="10"/>
        <item x="6"/>
        <item x="5"/>
        <item t="default"/>
      </items>
    </pivotField>
    <pivotField showAll="0">
      <items count="5">
        <item x="2"/>
        <item x="1"/>
        <item x="0"/>
        <item x="3"/>
        <item t="default"/>
      </items>
    </pivotField>
    <pivotField axis="axisRow" showAll="0">
      <items count="7">
        <item x="2"/>
        <item x="5"/>
        <item x="0"/>
        <item x="3"/>
        <item x="1"/>
        <item x="4"/>
        <item t="default"/>
      </items>
    </pivotField>
    <pivotField showAll="0"/>
    <pivotField showAll="0"/>
    <pivotField showAll="0"/>
    <pivotField showAll="0"/>
    <pivotField showAll="0">
      <items count="12">
        <item x="0"/>
        <item x="2"/>
        <item x="4"/>
        <item x="6"/>
        <item x="8"/>
        <item x="10"/>
        <item x="3"/>
        <item x="7"/>
        <item x="9"/>
        <item x="1"/>
        <item x="5"/>
        <item t="default"/>
      </items>
    </pivotField>
  </pivotFields>
  <rowFields count="1">
    <field x="3"/>
  </rowFields>
  <rowItems count="7">
    <i>
      <x/>
    </i>
    <i>
      <x v="1"/>
    </i>
    <i>
      <x v="2"/>
    </i>
    <i>
      <x v="3"/>
    </i>
    <i>
      <x v="4"/>
    </i>
    <i>
      <x v="5"/>
    </i>
    <i t="grand">
      <x/>
    </i>
  </rowItems>
  <colItems count="1">
    <i/>
  </colItems>
  <dataFields count="1">
    <dataField name="Count of Employee Name" fld="1" subtotal="count" baseField="0" baseItem="0"/>
  </dataFields>
  <chartFormats count="8">
    <chartFormat chart="2"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5" format="12">
      <pivotArea type="data" outline="0" fieldPosition="0">
        <references count="2">
          <reference field="4294967294" count="1" selected="0">
            <x v="0"/>
          </reference>
          <reference field="3" count="1" selected="0">
            <x v="3"/>
          </reference>
        </references>
      </pivotArea>
    </chartFormat>
    <chartFormat chart="5" format="13">
      <pivotArea type="data" outline="0" fieldPosition="0">
        <references count="2">
          <reference field="4294967294" count="1" selected="0">
            <x v="0"/>
          </reference>
          <reference field="3" count="1" selected="0">
            <x v="4"/>
          </reference>
        </references>
      </pivotArea>
    </chartFormat>
    <chartFormat chart="5"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AB8E68-A520-4A78-BDAC-73720D836BD7}" name="PivotTable1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9">
    <pivotField showAll="0">
      <items count="13">
        <item x="0"/>
        <item x="1"/>
        <item x="2"/>
        <item x="3"/>
        <item x="4"/>
        <item x="5"/>
        <item x="6"/>
        <item x="7"/>
        <item x="8"/>
        <item x="9"/>
        <item x="10"/>
        <item x="11"/>
        <item t="default"/>
      </items>
    </pivotField>
    <pivotField showAll="0"/>
    <pivotField axis="axisRow" showAll="0">
      <items count="5">
        <item x="2"/>
        <item x="1"/>
        <item x="0"/>
        <item x="3"/>
        <item t="default"/>
      </items>
    </pivotField>
    <pivotField showAll="0">
      <items count="7">
        <item x="2"/>
        <item x="5"/>
        <item x="0"/>
        <item x="3"/>
        <item x="1"/>
        <item x="4"/>
        <item t="default"/>
      </items>
    </pivotField>
    <pivotField showAll="0"/>
    <pivotField showAll="0"/>
    <pivotField dataField="1" showAll="0"/>
    <pivotField showAll="0"/>
    <pivotField showAll="0">
      <items count="12">
        <item x="0"/>
        <item x="2"/>
        <item x="4"/>
        <item x="6"/>
        <item x="8"/>
        <item x="10"/>
        <item x="3"/>
        <item x="7"/>
        <item x="9"/>
        <item x="1"/>
        <item x="5"/>
        <item t="default"/>
      </items>
    </pivotField>
  </pivotFields>
  <rowFields count="1">
    <field x="2"/>
  </rowFields>
  <rowItems count="5">
    <i>
      <x/>
    </i>
    <i>
      <x v="1"/>
    </i>
    <i>
      <x v="2"/>
    </i>
    <i>
      <x v="3"/>
    </i>
    <i t="grand">
      <x/>
    </i>
  </rowItems>
  <colItems count="1">
    <i/>
  </colItems>
  <dataFields count="1">
    <dataField name="Average of Performance Score" fld="6" subtotal="average" baseField="2" baseItem="0"/>
  </dataFields>
  <formats count="2">
    <format dxfId="1">
      <pivotArea collapsedLevelsAreSubtotals="1" fieldPosition="0">
        <references count="1">
          <reference field="2" count="1">
            <x v="1"/>
          </reference>
        </references>
      </pivotArea>
    </format>
    <format dxfId="2">
      <pivotArea collapsedLevelsAreSubtotals="1" fieldPosition="0">
        <references count="1">
          <reference field="2" count="1">
            <x v="2"/>
          </reference>
        </references>
      </pivotArea>
    </format>
  </formats>
  <chartFormats count="2">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1DCE8C-31B2-4829-9C6B-F90756F37B3C}"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9">
    <pivotField dataField="1" showAll="0">
      <items count="13">
        <item x="0"/>
        <item x="1"/>
        <item x="2"/>
        <item x="3"/>
        <item x="4"/>
        <item x="5"/>
        <item x="6"/>
        <item x="7"/>
        <item x="8"/>
        <item x="9"/>
        <item x="10"/>
        <item x="11"/>
        <item t="default"/>
      </items>
    </pivotField>
    <pivotField showAll="0"/>
    <pivotField axis="axisRow" showAll="0">
      <items count="5">
        <item x="2"/>
        <item x="1"/>
        <item x="0"/>
        <item x="3"/>
        <item t="default"/>
      </items>
    </pivotField>
    <pivotField showAll="0">
      <items count="7">
        <item x="2"/>
        <item x="5"/>
        <item x="0"/>
        <item x="3"/>
        <item x="1"/>
        <item x="4"/>
        <item t="default"/>
      </items>
    </pivotField>
    <pivotField showAll="0"/>
    <pivotField showAll="0"/>
    <pivotField showAll="0"/>
    <pivotField showAll="0"/>
    <pivotField showAll="0">
      <items count="12">
        <item x="0"/>
        <item x="2"/>
        <item x="4"/>
        <item x="6"/>
        <item x="8"/>
        <item x="10"/>
        <item x="3"/>
        <item x="7"/>
        <item x="9"/>
        <item x="1"/>
        <item x="5"/>
        <item t="default"/>
      </items>
    </pivotField>
  </pivotFields>
  <rowFields count="1">
    <field x="2"/>
  </rowFields>
  <rowItems count="5">
    <i>
      <x/>
    </i>
    <i>
      <x v="1"/>
    </i>
    <i>
      <x v="2"/>
    </i>
    <i>
      <x v="3"/>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335CD72-DB4D-497A-A82F-D15003380BDD}" sourceName="Location">
  <pivotTables>
    <pivotTable tabId="3" name="PivotTable12"/>
    <pivotTable tabId="3" name="PivotTable13"/>
    <pivotTable tabId="3" name="PivotTable14"/>
    <pivotTable tabId="3" name="PivotTable15"/>
    <pivotTable tabId="3" name="PivotTable16"/>
  </pivotTables>
  <data>
    <tabular pivotCacheId="1548027371">
      <items count="6">
        <i x="2" s="1"/>
        <i x="5"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FD8C2E-2663-4928-AC3F-DA9713C27F66}" sourceName="Month">
  <pivotTables>
    <pivotTable tabId="3" name="PivotTable12"/>
    <pivotTable tabId="3" name="PivotTable13"/>
    <pivotTable tabId="3" name="PivotTable14"/>
    <pivotTable tabId="3" name="PivotTable15"/>
    <pivotTable tabId="3" name="PivotTable16"/>
  </pivotTables>
  <data>
    <tabular pivotCacheId="1548027371">
      <items count="11">
        <i x="0" s="1"/>
        <i x="2" s="1"/>
        <i x="4" s="1"/>
        <i x="6" s="1"/>
        <i x="8" s="1"/>
        <i x="10" s="1"/>
        <i x="3" s="1"/>
        <i x="7" s="1"/>
        <i x="9"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A5CFF230-08E7-415A-BDC1-9DF16B1C2C8F}" cache="Slicer_Location" caption="Location" columnCount="2" rowHeight="234950"/>
  <slicer name="Month" xr10:uid="{A3DBA196-7F65-45A4-A90C-735282F2B6D0}"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ED0B27-7E09-45FD-9C27-B04F08F39F8D}" name="Table1" displayName="Table1" ref="A1:I13" totalsRowShown="0">
  <autoFilter ref="A1:I13" xr:uid="{08ED0B27-7E09-45FD-9C27-B04F08F39F8D}"/>
  <tableColumns count="9">
    <tableColumn id="1" xr3:uid="{3FCF1650-7FB8-4294-8807-B60E941ACD4C}" name="Employee ID"/>
    <tableColumn id="2" xr3:uid="{A707FF2D-E744-4097-8818-3FA93CCB31F8}" name="Employee Name"/>
    <tableColumn id="3" xr3:uid="{C00E4855-7D53-4882-A7AB-DF462D9EAEF6}" name="Department"/>
    <tableColumn id="4" xr3:uid="{CF1B713E-0A81-4FF9-9FB8-7E17B1BF2A80}" name="Location"/>
    <tableColumn id="5" xr3:uid="{8D5B05F9-6B50-4C5A-9193-2215DB5492EE}" name="Joining Date"/>
    <tableColumn id="6" xr3:uid="{833FE394-1F1E-4DEB-98F1-8FD22378C3B5}" name="Projects Completed"/>
    <tableColumn id="7" xr3:uid="{6BB9C120-2011-4124-B0EE-45652BC79C0A}" name="Performance Score"/>
    <tableColumn id="8" xr3:uid="{D3A01F7A-923B-4C12-88C8-C316A5897B91}" name="Training Hours"/>
    <tableColumn id="9" xr3:uid="{A0067513-317C-429F-8051-FA53435D7E24}" name="Month">
      <calculatedColumnFormula>TEXT(E2,"mmm")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workbookViewId="0"/>
  </sheetViews>
  <sheetFormatPr defaultRowHeight="14.4" x14ac:dyDescent="0.3"/>
  <cols>
    <col min="1" max="1" width="13.44140625" customWidth="1"/>
    <col min="2" max="2" width="16.6640625" customWidth="1"/>
    <col min="3" max="3" width="13" customWidth="1"/>
    <col min="4" max="4" width="10.109375" customWidth="1"/>
    <col min="5" max="5" width="13.109375" customWidth="1"/>
    <col min="6" max="6" width="19.33203125" customWidth="1"/>
    <col min="7" max="7" width="18.88671875" customWidth="1"/>
    <col min="8" max="8" width="15" customWidth="1"/>
  </cols>
  <sheetData>
    <row r="1" spans="1:9" x14ac:dyDescent="0.3">
      <c r="A1" t="s">
        <v>0</v>
      </c>
      <c r="B1" t="s">
        <v>1</v>
      </c>
      <c r="C1" t="s">
        <v>2</v>
      </c>
      <c r="D1" t="s">
        <v>3</v>
      </c>
      <c r="E1" t="s">
        <v>4</v>
      </c>
      <c r="F1" t="s">
        <v>5</v>
      </c>
      <c r="G1" t="s">
        <v>6</v>
      </c>
      <c r="H1" t="s">
        <v>7</v>
      </c>
      <c r="I1" t="s">
        <v>54</v>
      </c>
    </row>
    <row r="2" spans="1:9" x14ac:dyDescent="0.3">
      <c r="A2" t="s">
        <v>8</v>
      </c>
      <c r="B2" t="s">
        <v>9</v>
      </c>
      <c r="C2" t="s">
        <v>10</v>
      </c>
      <c r="D2" t="s">
        <v>11</v>
      </c>
      <c r="E2" t="s">
        <v>12</v>
      </c>
      <c r="F2">
        <v>8</v>
      </c>
      <c r="G2">
        <v>92</v>
      </c>
      <c r="H2">
        <v>35</v>
      </c>
      <c r="I2" t="str">
        <f>TEXT(E2,"mmm")</f>
        <v>Jan</v>
      </c>
    </row>
    <row r="3" spans="1:9" x14ac:dyDescent="0.3">
      <c r="A3" t="s">
        <v>13</v>
      </c>
      <c r="B3" t="s">
        <v>14</v>
      </c>
      <c r="C3" t="s">
        <v>15</v>
      </c>
      <c r="D3" t="s">
        <v>16</v>
      </c>
      <c r="E3" t="s">
        <v>17</v>
      </c>
      <c r="F3">
        <v>5</v>
      </c>
      <c r="G3">
        <v>88</v>
      </c>
      <c r="H3">
        <v>28</v>
      </c>
      <c r="I3" t="str">
        <f t="shared" ref="I3:I13" si="0">TEXT(E3,"mmm")</f>
        <v>Nov</v>
      </c>
    </row>
    <row r="4" spans="1:9" x14ac:dyDescent="0.3">
      <c r="A4" t="s">
        <v>18</v>
      </c>
      <c r="B4" t="s">
        <v>19</v>
      </c>
      <c r="C4" t="s">
        <v>20</v>
      </c>
      <c r="D4" t="s">
        <v>21</v>
      </c>
      <c r="E4" t="s">
        <v>22</v>
      </c>
      <c r="F4">
        <v>7</v>
      </c>
      <c r="G4">
        <v>90</v>
      </c>
      <c r="H4">
        <v>32</v>
      </c>
      <c r="I4" t="str">
        <f t="shared" si="0"/>
        <v>Feb</v>
      </c>
    </row>
    <row r="5" spans="1:9" x14ac:dyDescent="0.3">
      <c r="A5" t="s">
        <v>23</v>
      </c>
      <c r="B5" t="s">
        <v>24</v>
      </c>
      <c r="C5" t="s">
        <v>10</v>
      </c>
      <c r="D5" t="s">
        <v>25</v>
      </c>
      <c r="E5" t="s">
        <v>26</v>
      </c>
      <c r="F5">
        <v>10</v>
      </c>
      <c r="G5">
        <v>95</v>
      </c>
      <c r="H5">
        <v>40</v>
      </c>
      <c r="I5" t="str">
        <f t="shared" si="0"/>
        <v>Aug</v>
      </c>
    </row>
    <row r="6" spans="1:9" x14ac:dyDescent="0.3">
      <c r="A6" t="s">
        <v>27</v>
      </c>
      <c r="B6" t="s">
        <v>28</v>
      </c>
      <c r="C6" t="s">
        <v>29</v>
      </c>
      <c r="D6" t="s">
        <v>30</v>
      </c>
      <c r="E6" t="s">
        <v>31</v>
      </c>
      <c r="F6">
        <v>6</v>
      </c>
      <c r="G6">
        <v>84</v>
      </c>
      <c r="H6">
        <v>22</v>
      </c>
      <c r="I6" t="str">
        <f t="shared" si="0"/>
        <v>Mar</v>
      </c>
    </row>
    <row r="7" spans="1:9" x14ac:dyDescent="0.3">
      <c r="A7" t="s">
        <v>32</v>
      </c>
      <c r="B7" t="s">
        <v>33</v>
      </c>
      <c r="C7" t="s">
        <v>20</v>
      </c>
      <c r="D7" t="s">
        <v>11</v>
      </c>
      <c r="E7" t="s">
        <v>34</v>
      </c>
      <c r="F7">
        <v>9</v>
      </c>
      <c r="G7">
        <v>91</v>
      </c>
      <c r="H7">
        <v>30</v>
      </c>
      <c r="I7" t="str">
        <f t="shared" si="0"/>
        <v>Dec</v>
      </c>
    </row>
    <row r="8" spans="1:9" x14ac:dyDescent="0.3">
      <c r="A8" t="s">
        <v>35</v>
      </c>
      <c r="B8" t="s">
        <v>36</v>
      </c>
      <c r="C8" t="s">
        <v>15</v>
      </c>
      <c r="D8" t="s">
        <v>37</v>
      </c>
      <c r="E8" t="s">
        <v>38</v>
      </c>
      <c r="F8">
        <v>4</v>
      </c>
      <c r="G8">
        <v>82</v>
      </c>
      <c r="H8">
        <v>18</v>
      </c>
      <c r="I8" t="str">
        <f t="shared" si="0"/>
        <v>Apr</v>
      </c>
    </row>
    <row r="9" spans="1:9" x14ac:dyDescent="0.3">
      <c r="A9" t="s">
        <v>39</v>
      </c>
      <c r="B9" t="s">
        <v>40</v>
      </c>
      <c r="C9" t="s">
        <v>29</v>
      </c>
      <c r="D9" t="s">
        <v>16</v>
      </c>
      <c r="E9" t="s">
        <v>41</v>
      </c>
      <c r="F9">
        <v>11</v>
      </c>
      <c r="G9">
        <v>96</v>
      </c>
      <c r="H9">
        <v>45</v>
      </c>
      <c r="I9" t="str">
        <f t="shared" si="0"/>
        <v>Sep</v>
      </c>
    </row>
    <row r="10" spans="1:9" x14ac:dyDescent="0.3">
      <c r="A10" t="s">
        <v>42</v>
      </c>
      <c r="B10" t="s">
        <v>43</v>
      </c>
      <c r="C10" t="s">
        <v>10</v>
      </c>
      <c r="D10" t="s">
        <v>21</v>
      </c>
      <c r="E10" t="s">
        <v>44</v>
      </c>
      <c r="F10">
        <v>5</v>
      </c>
      <c r="G10">
        <v>87</v>
      </c>
      <c r="H10">
        <v>26</v>
      </c>
      <c r="I10" t="str">
        <f t="shared" si="0"/>
        <v>May</v>
      </c>
    </row>
    <row r="11" spans="1:9" x14ac:dyDescent="0.3">
      <c r="A11" t="s">
        <v>45</v>
      </c>
      <c r="B11" t="s">
        <v>46</v>
      </c>
      <c r="C11" t="s">
        <v>20</v>
      </c>
      <c r="D11" t="s">
        <v>30</v>
      </c>
      <c r="E11" t="s">
        <v>47</v>
      </c>
      <c r="F11">
        <v>8</v>
      </c>
      <c r="G11">
        <v>89</v>
      </c>
      <c r="H11">
        <v>34</v>
      </c>
      <c r="I11" t="str">
        <f t="shared" si="0"/>
        <v>Oct</v>
      </c>
    </row>
    <row r="12" spans="1:9" x14ac:dyDescent="0.3">
      <c r="A12" t="s">
        <v>48</v>
      </c>
      <c r="B12" t="s">
        <v>49</v>
      </c>
      <c r="C12" t="s">
        <v>29</v>
      </c>
      <c r="D12" t="s">
        <v>11</v>
      </c>
      <c r="E12" t="s">
        <v>50</v>
      </c>
      <c r="F12">
        <v>7</v>
      </c>
      <c r="G12">
        <v>90</v>
      </c>
      <c r="H12">
        <v>29</v>
      </c>
      <c r="I12" t="str">
        <f t="shared" si="0"/>
        <v>Jan</v>
      </c>
    </row>
    <row r="13" spans="1:9" x14ac:dyDescent="0.3">
      <c r="A13" t="s">
        <v>51</v>
      </c>
      <c r="B13" t="s">
        <v>52</v>
      </c>
      <c r="C13" t="s">
        <v>15</v>
      </c>
      <c r="D13" t="s">
        <v>25</v>
      </c>
      <c r="E13" t="s">
        <v>53</v>
      </c>
      <c r="F13">
        <v>3</v>
      </c>
      <c r="G13">
        <v>80</v>
      </c>
      <c r="H13">
        <v>15</v>
      </c>
      <c r="I13" t="str">
        <f t="shared" si="0"/>
        <v>Jun</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BCC3-AF2D-4608-814A-37B8F21BCD00}">
  <dimension ref="A3:W17"/>
  <sheetViews>
    <sheetView workbookViewId="0">
      <selection activeCell="W6" sqref="W6"/>
    </sheetView>
  </sheetViews>
  <sheetFormatPr defaultRowHeight="14.4" x14ac:dyDescent="0.3"/>
  <cols>
    <col min="1" max="1" width="12.5546875" bestFit="1" customWidth="1"/>
    <col min="2" max="2" width="19.5546875" bestFit="1" customWidth="1"/>
    <col min="3" max="3" width="22.88671875" bestFit="1" customWidth="1"/>
    <col min="4" max="4" width="12.5546875" bestFit="1" customWidth="1"/>
    <col min="5" max="5" width="27" bestFit="1" customWidth="1"/>
    <col min="8" max="8" width="12.5546875" bestFit="1" customWidth="1"/>
    <col min="9" max="9" width="22.88671875" bestFit="1" customWidth="1"/>
    <col min="12" max="12" width="24.21875" bestFit="1" customWidth="1"/>
    <col min="13" max="13" width="15.5546875" bestFit="1" customWidth="1"/>
    <col min="14" max="14" width="3.33203125" bestFit="1" customWidth="1"/>
    <col min="15" max="15" width="3" bestFit="1" customWidth="1"/>
    <col min="16" max="16" width="9.6640625" bestFit="1" customWidth="1"/>
    <col min="17" max="17" width="10.77734375" bestFit="1" customWidth="1"/>
    <col min="20" max="20" width="22.88671875" bestFit="1" customWidth="1"/>
    <col min="21" max="21" width="24.21875" bestFit="1" customWidth="1"/>
    <col min="22" max="22" width="19.77734375" bestFit="1" customWidth="1"/>
    <col min="23" max="23" width="27" bestFit="1" customWidth="1"/>
  </cols>
  <sheetData>
    <row r="3" spans="1:23" x14ac:dyDescent="0.3">
      <c r="A3" s="1" t="s">
        <v>55</v>
      </c>
      <c r="B3" t="s">
        <v>57</v>
      </c>
      <c r="D3" s="1" t="s">
        <v>55</v>
      </c>
      <c r="E3" t="s">
        <v>59</v>
      </c>
      <c r="H3" s="1" t="s">
        <v>55</v>
      </c>
      <c r="I3" t="s">
        <v>58</v>
      </c>
    </row>
    <row r="4" spans="1:23" x14ac:dyDescent="0.3">
      <c r="A4" s="2" t="s">
        <v>20</v>
      </c>
      <c r="B4" s="3">
        <v>3</v>
      </c>
      <c r="D4" s="2" t="s">
        <v>20</v>
      </c>
      <c r="E4" s="3">
        <v>90</v>
      </c>
      <c r="H4" s="2" t="s">
        <v>21</v>
      </c>
      <c r="I4" s="3">
        <v>2</v>
      </c>
      <c r="L4" s="1" t="s">
        <v>71</v>
      </c>
      <c r="M4" s="1" t="s">
        <v>72</v>
      </c>
      <c r="T4" t="s">
        <v>58</v>
      </c>
      <c r="U4" t="s">
        <v>71</v>
      </c>
      <c r="V4" t="s">
        <v>73</v>
      </c>
      <c r="W4" t="s">
        <v>59</v>
      </c>
    </row>
    <row r="5" spans="1:23" x14ac:dyDescent="0.3">
      <c r="A5" s="2" t="s">
        <v>15</v>
      </c>
      <c r="B5" s="3">
        <v>3</v>
      </c>
      <c r="D5" s="2" t="s">
        <v>15</v>
      </c>
      <c r="E5" s="4">
        <v>83.333333333333329</v>
      </c>
      <c r="H5" s="2" t="s">
        <v>37</v>
      </c>
      <c r="I5" s="3">
        <v>1</v>
      </c>
      <c r="L5" s="1" t="s">
        <v>55</v>
      </c>
      <c r="M5" t="s">
        <v>20</v>
      </c>
      <c r="N5" t="s">
        <v>15</v>
      </c>
      <c r="O5" t="s">
        <v>10</v>
      </c>
      <c r="P5" t="s">
        <v>29</v>
      </c>
      <c r="Q5" t="s">
        <v>56</v>
      </c>
      <c r="T5" s="3">
        <v>12</v>
      </c>
      <c r="U5" s="3">
        <v>83</v>
      </c>
      <c r="V5" s="3">
        <v>354</v>
      </c>
      <c r="W5" s="4">
        <v>88.666666666666671</v>
      </c>
    </row>
    <row r="6" spans="1:23" x14ac:dyDescent="0.3">
      <c r="A6" s="2" t="s">
        <v>10</v>
      </c>
      <c r="B6" s="3">
        <v>3</v>
      </c>
      <c r="D6" s="2" t="s">
        <v>10</v>
      </c>
      <c r="E6" s="4">
        <v>91.333333333333329</v>
      </c>
      <c r="H6" s="2" t="s">
        <v>11</v>
      </c>
      <c r="I6" s="3">
        <v>3</v>
      </c>
      <c r="L6" s="2" t="s">
        <v>63</v>
      </c>
      <c r="M6" s="3"/>
      <c r="N6" s="3"/>
      <c r="O6" s="3">
        <v>8</v>
      </c>
      <c r="P6" s="3">
        <v>7</v>
      </c>
      <c r="Q6" s="3">
        <v>15</v>
      </c>
    </row>
    <row r="7" spans="1:23" x14ac:dyDescent="0.3">
      <c r="A7" s="2" t="s">
        <v>29</v>
      </c>
      <c r="B7" s="3">
        <v>3</v>
      </c>
      <c r="D7" s="2" t="s">
        <v>29</v>
      </c>
      <c r="E7" s="3">
        <v>90</v>
      </c>
      <c r="H7" s="2" t="s">
        <v>25</v>
      </c>
      <c r="I7" s="3">
        <v>2</v>
      </c>
      <c r="L7" s="2" t="s">
        <v>60</v>
      </c>
      <c r="M7" s="3">
        <v>7</v>
      </c>
      <c r="N7" s="3"/>
      <c r="O7" s="3"/>
      <c r="P7" s="3"/>
      <c r="Q7" s="3">
        <v>7</v>
      </c>
    </row>
    <row r="8" spans="1:23" x14ac:dyDescent="0.3">
      <c r="A8" s="2" t="s">
        <v>56</v>
      </c>
      <c r="B8" s="3">
        <v>12</v>
      </c>
      <c r="D8" s="2" t="s">
        <v>56</v>
      </c>
      <c r="E8" s="3">
        <v>88.666666666666671</v>
      </c>
      <c r="H8" s="2" t="s">
        <v>16</v>
      </c>
      <c r="I8" s="3">
        <v>2</v>
      </c>
      <c r="L8" s="2" t="s">
        <v>69</v>
      </c>
      <c r="M8" s="3"/>
      <c r="N8" s="3"/>
      <c r="O8" s="3"/>
      <c r="P8" s="3">
        <v>6</v>
      </c>
      <c r="Q8" s="3">
        <v>6</v>
      </c>
    </row>
    <row r="9" spans="1:23" x14ac:dyDescent="0.3">
      <c r="H9" s="2" t="s">
        <v>30</v>
      </c>
      <c r="I9" s="3">
        <v>2</v>
      </c>
      <c r="L9" s="2" t="s">
        <v>62</v>
      </c>
      <c r="M9" s="3"/>
      <c r="N9" s="3">
        <v>4</v>
      </c>
      <c r="O9" s="3"/>
      <c r="P9" s="3"/>
      <c r="Q9" s="3">
        <v>4</v>
      </c>
    </row>
    <row r="10" spans="1:23" x14ac:dyDescent="0.3">
      <c r="H10" s="2" t="s">
        <v>56</v>
      </c>
      <c r="I10" s="3">
        <v>12</v>
      </c>
      <c r="L10" s="2" t="s">
        <v>61</v>
      </c>
      <c r="M10" s="3"/>
      <c r="N10" s="3"/>
      <c r="O10" s="3">
        <v>5</v>
      </c>
      <c r="P10" s="3"/>
      <c r="Q10" s="3">
        <v>5</v>
      </c>
    </row>
    <row r="11" spans="1:23" x14ac:dyDescent="0.3">
      <c r="L11" s="2" t="s">
        <v>65</v>
      </c>
      <c r="M11" s="3"/>
      <c r="N11" s="3">
        <v>3</v>
      </c>
      <c r="O11" s="3"/>
      <c r="P11" s="3"/>
      <c r="Q11" s="3">
        <v>3</v>
      </c>
    </row>
    <row r="12" spans="1:23" x14ac:dyDescent="0.3">
      <c r="L12" s="2" t="s">
        <v>66</v>
      </c>
      <c r="M12" s="3"/>
      <c r="N12" s="3"/>
      <c r="O12" s="3">
        <v>10</v>
      </c>
      <c r="P12" s="3"/>
      <c r="Q12" s="3">
        <v>10</v>
      </c>
    </row>
    <row r="13" spans="1:23" x14ac:dyDescent="0.3">
      <c r="L13" s="2" t="s">
        <v>67</v>
      </c>
      <c r="M13" s="3"/>
      <c r="N13" s="3"/>
      <c r="O13" s="3"/>
      <c r="P13" s="3">
        <v>11</v>
      </c>
      <c r="Q13" s="3">
        <v>11</v>
      </c>
    </row>
    <row r="14" spans="1:23" x14ac:dyDescent="0.3">
      <c r="L14" s="2" t="s">
        <v>70</v>
      </c>
      <c r="M14" s="3">
        <v>8</v>
      </c>
      <c r="N14" s="3"/>
      <c r="O14" s="3"/>
      <c r="P14" s="3"/>
      <c r="Q14" s="3">
        <v>8</v>
      </c>
    </row>
    <row r="15" spans="1:23" x14ac:dyDescent="0.3">
      <c r="L15" s="2" t="s">
        <v>68</v>
      </c>
      <c r="M15" s="3"/>
      <c r="N15" s="3">
        <v>5</v>
      </c>
      <c r="O15" s="3"/>
      <c r="P15" s="3"/>
      <c r="Q15" s="3">
        <v>5</v>
      </c>
    </row>
    <row r="16" spans="1:23" x14ac:dyDescent="0.3">
      <c r="L16" s="2" t="s">
        <v>64</v>
      </c>
      <c r="M16" s="3">
        <v>9</v>
      </c>
      <c r="N16" s="3"/>
      <c r="O16" s="3"/>
      <c r="P16" s="3"/>
      <c r="Q16" s="3">
        <v>9</v>
      </c>
    </row>
    <row r="17" spans="12:17" x14ac:dyDescent="0.3">
      <c r="L17" s="2" t="s">
        <v>56</v>
      </c>
      <c r="M17" s="3">
        <v>24</v>
      </c>
      <c r="N17" s="3">
        <v>12</v>
      </c>
      <c r="O17" s="3">
        <v>23</v>
      </c>
      <c r="P17" s="3">
        <v>24</v>
      </c>
      <c r="Q17" s="3">
        <v>83</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6BD1-7F28-432D-90F6-981DBED986DC}">
  <dimension ref="A1"/>
  <sheetViews>
    <sheetView showGridLines="0" tabSelected="1" workbookViewId="0">
      <selection activeCell="T29" sqref="T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Chaurasiya</cp:lastModifiedBy>
  <dcterms:created xsi:type="dcterms:W3CDTF">2026-07-12T07:46:31Z</dcterms:created>
  <dcterms:modified xsi:type="dcterms:W3CDTF">2026-07-12T10:59:19Z</dcterms:modified>
</cp:coreProperties>
</file>